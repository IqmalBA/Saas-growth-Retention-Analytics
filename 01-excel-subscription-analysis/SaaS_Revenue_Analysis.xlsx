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qmal\Documents\"/>
    </mc:Choice>
  </mc:AlternateContent>
  <bookViews>
    <workbookView xWindow="0" yWindow="0" windowWidth="20490" windowHeight="7755"/>
  </bookViews>
  <sheets>
    <sheet name="Dashboard" sheetId="10" r:id="rId1"/>
    <sheet name="Subscriptions" sheetId="2" r:id="rId2"/>
    <sheet name="Insights" sheetId="9" r:id="rId3"/>
    <sheet name="Customer" sheetId="1" r:id="rId4"/>
    <sheet name="Customer Status" sheetId="12" r:id="rId5"/>
    <sheet name="analysis" sheetId="3" r:id="rId6"/>
    <sheet name="Revenue by Segment" sheetId="5" r:id="rId7"/>
    <sheet name="Revenue by Channel" sheetId="6" r:id="rId8"/>
  </sheets>
  <definedNames>
    <definedName name="_xlnm.Print_Area" localSheetId="0">Dashboard!$A$1:$R$38</definedName>
  </definedNames>
  <calcPr calcId="152511"/>
  <pivotCaches>
    <pivotCache cacheId="5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3" l="1"/>
  <c r="E3" i="3"/>
  <c r="E4" i="3"/>
  <c r="E5" i="3"/>
  <c r="E6" i="3"/>
  <c r="H4" i="3" s="1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2" i="3"/>
  <c r="I4" i="3" l="1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3" i="3"/>
  <c r="B4" i="3"/>
  <c r="B5" i="3"/>
  <c r="B2" i="3"/>
  <c r="G4" i="3" l="1"/>
</calcChain>
</file>

<file path=xl/sharedStrings.xml><?xml version="1.0" encoding="utf-8"?>
<sst xmlns="http://schemas.openxmlformats.org/spreadsheetml/2006/main" count="398" uniqueCount="97">
  <si>
    <t>Signup_date</t>
  </si>
  <si>
    <t>Country</t>
  </si>
  <si>
    <t>segment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</si>
  <si>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</si>
  <si>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</si>
  <si>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</si>
  <si>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</si>
  <si>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</si>
  <si>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</si>
  <si>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</si>
  <si>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</si>
  <si>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</si>
  <si>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</si>
  <si>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</si>
  <si>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</si>
  <si>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</si>
  <si>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</si>
  <si>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</si>
  <si>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</si>
  <si>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</si>
  <si>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</si>
  <si>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</si>
  <si>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</si>
  <si>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</si>
  <si>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</si>
  <si>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</si>
  <si>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</si>
  <si>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</si>
  <si>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</si>
  <si>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</si>
  <si>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</si>
  <si>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</si>
  <si>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</si>
  <si>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</si>
  <si>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</si>
  <si>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</si>
  <si>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</si>
  <si>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</si>
  <si>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</si>
  <si>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</si>
  <si>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</si>
  <si>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</si>
  <si>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</si>
  <si>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</si>
  <si>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</si>
  <si>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</si>
  <si>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</si>
  <si>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</si>
  <si>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</si>
  <si>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</si>
  <si>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</si>
  <si>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</si>
  <si>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</si>
  <si>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US</t>
  </si>
  <si>
    <t>UK</t>
  </si>
  <si>
    <t>Canada</t>
  </si>
  <si>
    <t>Google Ads</t>
  </si>
  <si>
    <t>Organic</t>
  </si>
  <si>
    <t>LinkedIn Ads</t>
  </si>
  <si>
    <t>SMB</t>
  </si>
  <si>
    <t>Enterprise</t>
  </si>
  <si>
    <t>Plan_type</t>
  </si>
  <si>
    <t>Monthly_Price</t>
  </si>
  <si>
    <t>Start_Date</t>
  </si>
  <si>
    <t>End_Date</t>
  </si>
  <si>
    <t>Basic</t>
  </si>
  <si>
    <t>Pro</t>
  </si>
  <si>
    <t>Segment</t>
  </si>
  <si>
    <t>Status</t>
  </si>
  <si>
    <t>Channel</t>
  </si>
  <si>
    <t>Total Active Customers</t>
  </si>
  <si>
    <t>CHURN RATE</t>
  </si>
  <si>
    <t>MRR (Monthly Recurring Revenue)</t>
  </si>
  <si>
    <t>Row Labels</t>
  </si>
  <si>
    <t>Grand Total</t>
  </si>
  <si>
    <t>Sum of Monthly_Price</t>
  </si>
  <si>
    <t>SaaS Revenue Dashboard</t>
  </si>
  <si>
    <t>SaaS Revenue Analysis – Insights</t>
  </si>
  <si>
    <t>Executive Summary</t>
  </si>
  <si>
    <t>This analysis evaluates SaaS revenue performance and customer churn behavior.</t>
  </si>
  <si>
    <t>Key Insights</t>
  </si>
  <si>
    <t>- The Enterprise segment generates the highest revenue</t>
  </si>
  <si>
    <t>- The SMB segment shows a higher churn rate</t>
  </si>
  <si>
    <t>- Certain acquisition channels bring lower-value customers</t>
  </si>
  <si>
    <t>Recommendations</t>
  </si>
  <si>
    <t>- Focus on Enterprise upselling strategy</t>
  </si>
  <si>
    <t>- Improve onboarding for SMB customers</t>
  </si>
  <si>
    <t>- Optimize marketing channels with low performance</t>
  </si>
  <si>
    <t>The relatively high churn rate suggests a need for improved customer retention strategies, particularly in the SMB segment.</t>
  </si>
  <si>
    <t>Customer_id</t>
  </si>
  <si>
    <t>Subscription Revenue &amp; Customer Churn Analysis</t>
  </si>
  <si>
    <t>Analysis Date: June 2026</t>
  </si>
  <si>
    <t>Active</t>
  </si>
  <si>
    <t>Churned</t>
  </si>
  <si>
    <t>Count of Status</t>
  </si>
  <si>
    <t>Acquisition_Channel</t>
  </si>
  <si>
    <t>Mid-Market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</si>
</sst>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5" formatCode="&quot;$&quot;#,##0_);\(&quot;$&quot;#,##0\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2"/>
      <color theme="2" tint="-0.499984740745262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1" xfId="0" applyFont="1" applyBorder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5" fontId="0" fillId="0" borderId="0" xfId="0" applyNumberFormat="1" applyAlignment="1">
      <alignment horizontal="center" vertical="top" wrapText="1"/>
    </xf>
    <xf numFmtId="5" fontId="0" fillId="0" borderId="0" xfId="0" applyNumberFormat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vertical="center" wrapText="1"/>
    </xf>
    <xf numFmtId="5" fontId="0" fillId="0" borderId="1" xfId="0" applyNumberFormat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0" fillId="2" borderId="0" xfId="0" applyFill="1"/>
    <xf numFmtId="14" fontId="1" fillId="0" borderId="1" xfId="0" applyNumberFormat="1" applyFont="1" applyBorder="1"/>
    <xf numFmtId="14" fontId="0" fillId="0" borderId="0" xfId="0" applyNumberFormat="1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[SaaS_Revenue_Analysis.xlsx]Revenue by Channel!PivotTable2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Revenue by Acquisition Channel</a:t>
            </a:r>
            <a:endParaRPr lang="en-US" sz="16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Channel'!$B$3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Channel'!$A$4:$A$6</c:f>
              <c:strCache>
                <c:ptCount val="3"/>
                <c:pt idx="0">
                  <c:v>Google Ads</c:v>
                </c:pt>
                <c:pt idx="1">
                  <c:v>LinkedIn Ads</c:v>
                </c:pt>
                <c:pt idx="2">
                  <c:v>Organic</c:v>
                </c:pt>
              </c:strCache>
            </c:strRef>
          </c:cat>
          <c:val>
            <c:numRef>
              <c:f>'Revenue by Channel'!$B$4:$B$6</c:f>
              <c:numCache>
                <c:formatCode>General</c:formatCode>
                <c:ptCount val="3"/>
                <c:pt idx="0">
                  <c:v>3380</c:v>
                </c:pt>
                <c:pt idx="1">
                  <c:v>1635</c:v>
                </c:pt>
                <c:pt idx="2">
                  <c:v>1935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1633360"/>
        <c:axId val="2021636080"/>
      </c:barChart>
      <c:catAx>
        <c:axId val="2021633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636080"/>
        <c:crosses val="autoZero"/>
        <c:auto val="1"/>
        <c:lblAlgn val="ctr"/>
        <c:lblOffset val="100"/>
        <c:noMultiLvlLbl val="0"/>
      </c:catAx>
      <c:valAx>
        <c:axId val="2021636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63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[SaaS_Revenue_Analysis.xlsx]Revenue by Segment!PivotTable1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Revenue by Segment</a:t>
            </a:r>
            <a:endParaRPr lang="en-US" sz="16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Segment'!$B$3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Segment'!$A$4:$A$6</c:f>
              <c:strCache>
                <c:ptCount val="3"/>
                <c:pt idx="0">
                  <c:v>Enterprise</c:v>
                </c:pt>
                <c:pt idx="1">
                  <c:v>SMB</c:v>
                </c:pt>
                <c:pt idx="2">
                  <c:v>Mid-Market</c:v>
                </c:pt>
              </c:strCache>
            </c:strRef>
          </c:cat>
          <c:val>
            <c:numRef>
              <c:f>'Revenue by Segment'!$B$4:$B$6</c:f>
              <c:numCache>
                <c:formatCode>General</c:formatCode>
                <c:ptCount val="3"/>
                <c:pt idx="0">
                  <c:v>1785</c:v>
                </c:pt>
                <c:pt idx="1">
                  <c:v>2532</c:v>
                </c:pt>
                <c:pt idx="2">
                  <c:v>2633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21625744"/>
        <c:axId val="2021638800"/>
      </c:barChart>
      <c:catAx>
        <c:axId val="2021625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638800"/>
        <c:crosses val="autoZero"/>
        <c:auto val="1"/>
        <c:lblAlgn val="ctr"/>
        <c:lblOffset val="100"/>
        <c:noMultiLvlLbl val="0"/>
      </c:catAx>
      <c:valAx>
        <c:axId val="2021638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62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Customer Distribution (Active vs Churned)</a:t>
            </a:r>
            <a:endParaRPr lang="en-US" sz="16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Active</c:v>
              </c:pt>
              <c:pt idx="1">
                <c:v>Churned</c:v>
              </c:pt>
            </c:strLit>
          </c:cat>
          <c:val>
            <c:numLit>
              <c:formatCode>General</c:formatCode>
              <c:ptCount val="2"/>
              <c:pt idx="0">
                <c:v>39</c:v>
              </c:pt>
              <c:pt idx="1">
                <c:v>11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1624656"/>
        <c:axId val="2021638256"/>
      </c:barChart>
      <c:catAx>
        <c:axId val="202162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638256"/>
        <c:crosses val="autoZero"/>
        <c:auto val="1"/>
        <c:lblAlgn val="ctr"/>
        <c:lblOffset val="100"/>
        <c:noMultiLvlLbl val="0"/>
      </c:catAx>
      <c:valAx>
        <c:axId val="202163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624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468484</xdr:colOff>
      <xdr:row>7</xdr:row>
      <xdr:rowOff>180729</xdr:rowOff>
    </xdr:from>
    <xdr:to>
      <xdr:col>17</xdr:col>
      <xdr:colOff>146539</xdr:colOff>
      <xdr:row>15</xdr:row>
      <xdr:rowOff>54951</xdr:rowOff>
    </xdr:to>
    <xdr:sp macro="" textlink="">
      <xdr:nvSpPr>
        <xdr:cNvPr id="5" name="Rectangle 4"/>
        <xdr:cNvSpPr/>
      </xdr:nvSpPr>
      <xdr:spPr>
        <a:xfrm>
          <a:off x="11147474" y="1554527"/>
          <a:ext cx="3909353" cy="1339607"/>
        </a:xfrm>
        <a:prstGeom prst="rect">
          <a:avLst/>
        </a:prstGeom>
        <a:ln>
          <a:solidFill>
            <a:schemeClr val="accent6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3600" b="1"/>
            <a:t> $5,461</a:t>
          </a:r>
        </a:p>
        <a:p>
          <a:pPr algn="ctr"/>
          <a:r>
            <a:rPr lang="en-US" sz="1800" b="1"/>
            <a:t/>
          </a:r>
          <a:br>
            <a:rPr lang="en-US" sz="1800" b="1"/>
          </a:br>
          <a:r>
            <a:rPr lang="en-US" sz="2400" b="1"/>
            <a:t>Monthly Recurring Revenue</a:t>
          </a:r>
        </a:p>
      </xdr:txBody>
    </xdr:sp>
    <xdr:clientData/>
  </xdr:twoCellAnchor>
  <xdr:twoCellAnchor>
    <xdr:from>
      <xdr:col>0</xdr:col>
      <xdr:colOff>67163</xdr:colOff>
      <xdr:row>0</xdr:row>
      <xdr:rowOff>107869</xdr:rowOff>
    </xdr:from>
    <xdr:to>
      <xdr:col>17</xdr:col>
      <xdr:colOff>146539</xdr:colOff>
      <xdr:row>0</xdr:row>
      <xdr:rowOff>166767</xdr:rowOff>
    </xdr:to>
    <xdr:cxnSp macro="">
      <xdr:nvCxnSpPr>
        <xdr:cNvPr id="7" name="Straight Connector 6"/>
        <xdr:cNvCxnSpPr/>
      </xdr:nvCxnSpPr>
      <xdr:spPr>
        <a:xfrm>
          <a:off x="67163" y="107869"/>
          <a:ext cx="14989664" cy="58898"/>
        </a:xfrm>
        <a:prstGeom prst="line">
          <a:avLst/>
        </a:prstGeom>
        <a:ln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86498</xdr:colOff>
      <xdr:row>6</xdr:row>
      <xdr:rowOff>87515</xdr:rowOff>
    </xdr:from>
    <xdr:to>
      <xdr:col>17</xdr:col>
      <xdr:colOff>91587</xdr:colOff>
      <xdr:row>6</xdr:row>
      <xdr:rowOff>102241</xdr:rowOff>
    </xdr:to>
    <xdr:cxnSp macro="">
      <xdr:nvCxnSpPr>
        <xdr:cNvPr id="10" name="Straight Connector 9"/>
        <xdr:cNvCxnSpPr/>
      </xdr:nvCxnSpPr>
      <xdr:spPr>
        <a:xfrm>
          <a:off x="86498" y="1278140"/>
          <a:ext cx="14915377" cy="14726"/>
        </a:xfrm>
        <a:prstGeom prst="line">
          <a:avLst/>
        </a:prstGeom>
        <a:ln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211425</xdr:colOff>
      <xdr:row>18</xdr:row>
      <xdr:rowOff>107497</xdr:rowOff>
    </xdr:from>
    <xdr:to>
      <xdr:col>17</xdr:col>
      <xdr:colOff>146540</xdr:colOff>
      <xdr:row>34</xdr:row>
      <xdr:rowOff>18317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201491</xdr:colOff>
      <xdr:row>18</xdr:row>
      <xdr:rowOff>91586</xdr:rowOff>
    </xdr:from>
    <xdr:to>
      <xdr:col>2</xdr:col>
      <xdr:colOff>1498613</xdr:colOff>
      <xdr:row>33</xdr:row>
      <xdr:rowOff>98216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1605609</xdr:colOff>
      <xdr:row>18</xdr:row>
      <xdr:rowOff>109905</xdr:rowOff>
    </xdr:from>
    <xdr:to>
      <xdr:col>9</xdr:col>
      <xdr:colOff>1</xdr:colOff>
      <xdr:row>33</xdr:row>
      <xdr:rowOff>128223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64135</xdr:colOff>
      <xdr:row>8</xdr:row>
      <xdr:rowOff>0</xdr:rowOff>
    </xdr:from>
    <xdr:to>
      <xdr:col>4</xdr:col>
      <xdr:colOff>201490</xdr:colOff>
      <xdr:row>15</xdr:row>
      <xdr:rowOff>73268</xdr:rowOff>
    </xdr:to>
    <xdr:sp macro="" textlink="">
      <xdr:nvSpPr>
        <xdr:cNvPr id="16" name="Rectangle 15"/>
        <xdr:cNvSpPr/>
      </xdr:nvSpPr>
      <xdr:spPr>
        <a:xfrm>
          <a:off x="3562741" y="1556971"/>
          <a:ext cx="3690912" cy="1355480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3600" b="1"/>
            <a:t> 39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/>
            <a:t/>
          </a:r>
          <a:br>
            <a:rPr lang="en-US" sz="1800" b="1"/>
          </a:br>
          <a:r>
            <a:rPr lang="en-US" sz="2400" b="1"/>
            <a:t>Active</a:t>
          </a:r>
          <a:r>
            <a:rPr lang="en-US" sz="2400" b="1" baseline="0"/>
            <a:t> Customers</a:t>
          </a:r>
          <a:endParaRPr lang="en-US" sz="2400">
            <a:effectLst/>
          </a:endParaRPr>
        </a:p>
        <a:p>
          <a:pPr algn="l"/>
          <a:endParaRPr lang="en-US" sz="1800" b="1"/>
        </a:p>
      </xdr:txBody>
    </xdr:sp>
    <xdr:clientData/>
  </xdr:twoCellAnchor>
  <xdr:twoCellAnchor>
    <xdr:from>
      <xdr:col>4</xdr:col>
      <xdr:colOff>274761</xdr:colOff>
      <xdr:row>8</xdr:row>
      <xdr:rowOff>2</xdr:rowOff>
    </xdr:from>
    <xdr:to>
      <xdr:col>10</xdr:col>
      <xdr:colOff>402982</xdr:colOff>
      <xdr:row>15</xdr:row>
      <xdr:rowOff>54952</xdr:rowOff>
    </xdr:to>
    <xdr:sp macro="" textlink="">
      <xdr:nvSpPr>
        <xdr:cNvPr id="17" name="Rectangle 16"/>
        <xdr:cNvSpPr/>
      </xdr:nvSpPr>
      <xdr:spPr>
        <a:xfrm>
          <a:off x="7326924" y="1556973"/>
          <a:ext cx="3755048" cy="1337162"/>
        </a:xfrm>
        <a:prstGeom prst="rect">
          <a:avLst/>
        </a:prstGeom>
        <a:ln>
          <a:solidFill>
            <a:schemeClr val="accent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3600" b="1"/>
            <a:t> 22%</a:t>
          </a:r>
        </a:p>
        <a:p>
          <a:pPr algn="ctr"/>
          <a:r>
            <a:rPr lang="en-US" sz="1800" b="1"/>
            <a:t/>
          </a:r>
          <a:br>
            <a:rPr lang="en-US" sz="1800" b="1"/>
          </a:br>
          <a:r>
            <a:rPr lang="en-US" sz="2400" b="1"/>
            <a:t>Churn</a:t>
          </a:r>
          <a:r>
            <a:rPr lang="en-US" sz="2400" b="1" baseline="0"/>
            <a:t> Rate</a:t>
          </a:r>
          <a:endParaRPr lang="en-US" sz="2400">
            <a:effectLst/>
          </a:endParaRPr>
        </a:p>
        <a:p>
          <a:pPr algn="ctr"/>
          <a:endParaRPr lang="en-US" sz="1800" b="1"/>
        </a:p>
      </xdr:txBody>
    </xdr:sp>
    <xdr:clientData/>
  </xdr:twoCellAnchor>
  <xdr:twoCellAnchor>
    <xdr:from>
      <xdr:col>0</xdr:col>
      <xdr:colOff>161584</xdr:colOff>
      <xdr:row>7</xdr:row>
      <xdr:rowOff>164856</xdr:rowOff>
    </xdr:from>
    <xdr:to>
      <xdr:col>1</xdr:col>
      <xdr:colOff>2454519</xdr:colOff>
      <xdr:row>15</xdr:row>
      <xdr:rowOff>73269</xdr:rowOff>
    </xdr:to>
    <xdr:sp macro="" textlink="">
      <xdr:nvSpPr>
        <xdr:cNvPr id="18" name="Rectangle 17"/>
        <xdr:cNvSpPr/>
      </xdr:nvSpPr>
      <xdr:spPr>
        <a:xfrm>
          <a:off x="161584" y="1538654"/>
          <a:ext cx="3300387" cy="1373798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3600" b="1"/>
            <a:t> 50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/>
            <a:t/>
          </a:r>
          <a:br>
            <a:rPr lang="en-US" sz="1800" b="1"/>
          </a:br>
          <a:r>
            <a:rPr lang="en-US" sz="2400" b="1"/>
            <a:t>Total</a:t>
          </a:r>
          <a:r>
            <a:rPr lang="en-US" sz="2400" b="1" baseline="0"/>
            <a:t> Customers</a:t>
          </a:r>
          <a:endParaRPr lang="en-US" sz="2400">
            <a:effectLst/>
          </a:endParaRPr>
        </a:p>
        <a:p>
          <a:pPr algn="l"/>
          <a:endParaRPr lang="en-US" sz="18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qmal" refreshedDate="46199.719026620369" createdVersion="5" refreshedVersion="5" minRefreshableVersion="3" recordCount="50">
  <cacheSource type="worksheet">
    <worksheetSource ref="A1:E51" sheet="analysis"/>
  </cacheSource>
  <cacheFields count="5">
    <cacheField name="Customer_id" numFmtId="0">
      <sharedItems/>
    </cacheField>
    <cacheField name="Segment" numFmtId="0">
      <sharedItems count="4">
        <s v="SMB"/>
        <s v="Mid-Market"/>
        <s v="Enterprise"/>
        <s v="Mid" u="1"/>
      </sharedItems>
    </cacheField>
    <cacheField name="Channel" numFmtId="0">
      <sharedItems count="3">
        <s v="Google Ads"/>
        <s v="Organic"/>
        <s v="LinkedIn Ads"/>
      </sharedItems>
    </cacheField>
    <cacheField name="Monthly_Price" numFmtId="5">
      <sharedItems containsSemiMixedTypes="0" containsString="0" containsNumber="1" containsInteger="1" minValue="49" maxValue="299"/>
    </cacheField>
    <cacheField name="Status" numFmtId="0">
      <sharedItems count="2">
        <s v="Active"/>
        <s v="Churn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s v="C001"/>
    <x v="0"/>
    <x v="0"/>
    <n v="49"/>
    <x v="0"/>
  </r>
  <r>
    <s v="C002"/>
    <x v="1"/>
    <x v="1"/>
    <n v="149"/>
    <x v="1"/>
  </r>
  <r>
    <s v="C003"/>
    <x v="2"/>
    <x v="2"/>
    <n v="49"/>
    <x v="0"/>
  </r>
  <r>
    <s v="C004"/>
    <x v="0"/>
    <x v="0"/>
    <n v="299"/>
    <x v="0"/>
  </r>
  <r>
    <s v="C005"/>
    <x v="0"/>
    <x v="1"/>
    <n v="149"/>
    <x v="1"/>
  </r>
  <r>
    <s v="C006"/>
    <x v="1"/>
    <x v="0"/>
    <n v="49"/>
    <x v="0"/>
  </r>
  <r>
    <s v="C007"/>
    <x v="2"/>
    <x v="2"/>
    <n v="149"/>
    <x v="0"/>
  </r>
  <r>
    <s v="C008"/>
    <x v="0"/>
    <x v="1"/>
    <n v="49"/>
    <x v="1"/>
  </r>
  <r>
    <s v="C009"/>
    <x v="1"/>
    <x v="0"/>
    <n v="299"/>
    <x v="0"/>
  </r>
  <r>
    <s v="C010"/>
    <x v="1"/>
    <x v="0"/>
    <n v="149"/>
    <x v="0"/>
  </r>
  <r>
    <s v="C011"/>
    <x v="2"/>
    <x v="2"/>
    <n v="49"/>
    <x v="0"/>
  </r>
  <r>
    <s v="C012"/>
    <x v="0"/>
    <x v="1"/>
    <n v="149"/>
    <x v="1"/>
  </r>
  <r>
    <s v="C013"/>
    <x v="1"/>
    <x v="0"/>
    <n v="299"/>
    <x v="0"/>
  </r>
  <r>
    <s v="C014"/>
    <x v="2"/>
    <x v="2"/>
    <n v="49"/>
    <x v="0"/>
  </r>
  <r>
    <s v="C015"/>
    <x v="0"/>
    <x v="0"/>
    <n v="149"/>
    <x v="1"/>
  </r>
  <r>
    <s v="C016"/>
    <x v="1"/>
    <x v="1"/>
    <n v="49"/>
    <x v="0"/>
  </r>
  <r>
    <s v="C017"/>
    <x v="0"/>
    <x v="2"/>
    <n v="149"/>
    <x v="0"/>
  </r>
  <r>
    <s v="C018"/>
    <x v="2"/>
    <x v="0"/>
    <n v="299"/>
    <x v="1"/>
  </r>
  <r>
    <s v="C019"/>
    <x v="1"/>
    <x v="1"/>
    <n v="49"/>
    <x v="0"/>
  </r>
  <r>
    <s v="C020"/>
    <x v="0"/>
    <x v="0"/>
    <n v="149"/>
    <x v="0"/>
  </r>
  <r>
    <s v="C021"/>
    <x v="2"/>
    <x v="2"/>
    <n v="49"/>
    <x v="0"/>
  </r>
  <r>
    <s v="C022"/>
    <x v="1"/>
    <x v="1"/>
    <n v="149"/>
    <x v="1"/>
  </r>
  <r>
    <s v="C023"/>
    <x v="0"/>
    <x v="0"/>
    <n v="299"/>
    <x v="0"/>
  </r>
  <r>
    <s v="C024"/>
    <x v="2"/>
    <x v="2"/>
    <n v="49"/>
    <x v="0"/>
  </r>
  <r>
    <s v="C025"/>
    <x v="1"/>
    <x v="1"/>
    <n v="149"/>
    <x v="0"/>
  </r>
  <r>
    <s v="C026"/>
    <x v="0"/>
    <x v="0"/>
    <n v="49"/>
    <x v="0"/>
  </r>
  <r>
    <s v="C027"/>
    <x v="1"/>
    <x v="0"/>
    <n v="149"/>
    <x v="1"/>
  </r>
  <r>
    <s v="C028"/>
    <x v="2"/>
    <x v="2"/>
    <n v="299"/>
    <x v="0"/>
  </r>
  <r>
    <s v="C029"/>
    <x v="0"/>
    <x v="1"/>
    <n v="49"/>
    <x v="0"/>
  </r>
  <r>
    <s v="C030"/>
    <x v="1"/>
    <x v="0"/>
    <n v="149"/>
    <x v="0"/>
  </r>
  <r>
    <s v="C031"/>
    <x v="2"/>
    <x v="2"/>
    <n v="49"/>
    <x v="0"/>
  </r>
  <r>
    <s v="C032"/>
    <x v="0"/>
    <x v="1"/>
    <n v="149"/>
    <x v="0"/>
  </r>
  <r>
    <s v="C033"/>
    <x v="1"/>
    <x v="0"/>
    <n v="299"/>
    <x v="0"/>
  </r>
  <r>
    <s v="C034"/>
    <x v="2"/>
    <x v="2"/>
    <n v="49"/>
    <x v="1"/>
  </r>
  <r>
    <s v="C035"/>
    <x v="0"/>
    <x v="1"/>
    <n v="149"/>
    <x v="0"/>
  </r>
  <r>
    <s v="C036"/>
    <x v="1"/>
    <x v="0"/>
    <n v="49"/>
    <x v="0"/>
  </r>
  <r>
    <s v="C037"/>
    <x v="2"/>
    <x v="2"/>
    <n v="149"/>
    <x v="1"/>
  </r>
  <r>
    <s v="C038"/>
    <x v="0"/>
    <x v="1"/>
    <n v="299"/>
    <x v="0"/>
  </r>
  <r>
    <s v="C039"/>
    <x v="1"/>
    <x v="0"/>
    <n v="49"/>
    <x v="0"/>
  </r>
  <r>
    <s v="C040"/>
    <x v="2"/>
    <x v="2"/>
    <n v="149"/>
    <x v="0"/>
  </r>
  <r>
    <s v="C041"/>
    <x v="0"/>
    <x v="1"/>
    <n v="49"/>
    <x v="0"/>
  </r>
  <r>
    <s v="C042"/>
    <x v="1"/>
    <x v="0"/>
    <n v="149"/>
    <x v="0"/>
  </r>
  <r>
    <s v="C043"/>
    <x v="2"/>
    <x v="2"/>
    <n v="299"/>
    <x v="0"/>
  </r>
  <r>
    <s v="C044"/>
    <x v="0"/>
    <x v="1"/>
    <n v="49"/>
    <x v="1"/>
  </r>
  <r>
    <s v="C045"/>
    <x v="1"/>
    <x v="0"/>
    <n v="149"/>
    <x v="0"/>
  </r>
  <r>
    <s v="C046"/>
    <x v="2"/>
    <x v="2"/>
    <n v="49"/>
    <x v="0"/>
  </r>
  <r>
    <s v="C047"/>
    <x v="0"/>
    <x v="0"/>
    <n v="149"/>
    <x v="0"/>
  </r>
  <r>
    <s v="C048"/>
    <x v="1"/>
    <x v="1"/>
    <n v="299"/>
    <x v="0"/>
  </r>
  <r>
    <s v="C049"/>
    <x v="2"/>
    <x v="2"/>
    <n v="49"/>
    <x v="0"/>
  </r>
  <r>
    <s v="C050"/>
    <x v="0"/>
    <x v="0"/>
    <n v="14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6" firstHeaderRow="1" firstDataRow="1" firstDataCol="1"/>
  <pivotFields count="5">
    <pivotField showAll="0"/>
    <pivotField showAll="0"/>
    <pivotField showAll="0"/>
    <pivotField numFmtId="5" showAll="0"/>
    <pivotField axis="axisRow" dataField="1" showAll="0">
      <items count="3">
        <item x="0"/>
        <item x="1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Status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outline="1" outlineData="1" multipleFieldFilters="0" chartFormat="37">
  <location ref="A3:B6" firstHeaderRow="1" firstDataRow="1" firstDataCol="1"/>
  <pivotFields count="5">
    <pivotField showAll="0" defaultSubtotal="0"/>
    <pivotField axis="axisRow" showAll="0">
      <items count="5">
        <item x="2"/>
        <item m="1" x="3"/>
        <item x="0"/>
        <item x="1"/>
        <item t="default"/>
      </items>
    </pivotField>
    <pivotField showAll="0"/>
    <pivotField dataField="1" numFmtId="5" showAll="0"/>
    <pivotField showAll="0"/>
  </pivotFields>
  <rowFields count="1">
    <field x="1"/>
  </rowFields>
  <rowItems count="3">
    <i>
      <x/>
    </i>
    <i>
      <x v="2"/>
    </i>
    <i>
      <x v="3"/>
    </i>
  </rowItems>
  <colItems count="1">
    <i/>
  </colItems>
  <dataFields count="1">
    <dataField name="Sum of Monthly_Price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outline="1" outlineData="1" multipleFieldFilters="0" chartFormat="24">
  <location ref="A3:B6" firstHeaderRow="1" firstDataRow="1" firstDataCol="1"/>
  <pivotFields count="5">
    <pivotField showAll="0" defaultSubtotal="0"/>
    <pivotField showAll="0"/>
    <pivotField axis="axisRow" showAll="0">
      <items count="4">
        <item x="0"/>
        <item x="2"/>
        <item x="1"/>
        <item t="default"/>
      </items>
    </pivotField>
    <pivotField dataField="1" numFmtId="5" showAll="0"/>
    <pivotField showAll="0"/>
  </pivotFields>
  <rowFields count="1">
    <field x="2"/>
  </rowFields>
  <rowItems count="3">
    <i>
      <x/>
    </i>
    <i>
      <x v="1"/>
    </i>
    <i>
      <x v="2"/>
    </i>
  </rowItems>
  <colItems count="1">
    <i/>
  </colItems>
  <dataFields count="1">
    <dataField name="Sum of Monthly_Price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8"/>
  <sheetViews>
    <sheetView showGridLines="0" tabSelected="1" topLeftCell="A13" zoomScale="70" zoomScaleNormal="84" workbookViewId="0">
      <selection activeCell="D42" sqref="D42"/>
    </sheetView>
  </sheetViews>
  <sheetFormatPr defaultRowHeight="15" x14ac:dyDescent="0.25"/>
  <cols>
    <col min="1" max="1" width="15" style="19" customWidth="1"/>
    <col min="2" max="2" width="37.42578125" style="19" customWidth="1"/>
    <col min="3" max="3" width="29.5703125" style="19" customWidth="1"/>
    <col min="4" max="4" width="23.5703125" style="19" customWidth="1"/>
    <col min="5" max="9" width="9.140625" style="19"/>
    <col min="10" max="10" width="9.140625" style="19" customWidth="1"/>
    <col min="11" max="16384" width="9.140625" style="19"/>
  </cols>
  <sheetData>
    <row r="1" spans="1:17" ht="21" customHeight="1" x14ac:dyDescent="0.25">
      <c r="A1" s="24" t="s">
        <v>76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ht="15" customHeight="1" x14ac:dyDescent="0.2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ht="15" customHeight="1" x14ac:dyDescent="0.2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ht="1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17" x14ac:dyDescent="0.25">
      <c r="A5" s="22" t="s">
        <v>90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7" x14ac:dyDescent="0.25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</row>
    <row r="37" spans="10:13" x14ac:dyDescent="0.25">
      <c r="J37" s="25" t="s">
        <v>91</v>
      </c>
      <c r="K37" s="25"/>
      <c r="L37" s="25"/>
      <c r="M37" s="25"/>
    </row>
    <row r="38" spans="10:13" x14ac:dyDescent="0.25">
      <c r="J38" s="25"/>
      <c r="K38" s="25"/>
      <c r="L38" s="25"/>
      <c r="M38" s="25"/>
    </row>
  </sheetData>
  <mergeCells count="3">
    <mergeCell ref="A5:P6"/>
    <mergeCell ref="A1:Q4"/>
    <mergeCell ref="J37:M38"/>
  </mergeCells>
  <pageMargins left="0.7" right="0.7" top="0.75" bottom="0.75" header="0.3" footer="0.3"/>
  <pageSetup scale="38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selection activeCell="A2" sqref="A2"/>
    </sheetView>
  </sheetViews>
  <sheetFormatPr defaultRowHeight="15" x14ac:dyDescent="0.25"/>
  <cols>
    <col min="1" max="1" width="16.85546875" customWidth="1"/>
    <col min="2" max="2" width="16.7109375" customWidth="1"/>
    <col min="3" max="3" width="20.140625" customWidth="1"/>
    <col min="4" max="4" width="15.5703125" customWidth="1"/>
    <col min="5" max="5" width="20.7109375" customWidth="1"/>
  </cols>
  <sheetData>
    <row r="1" spans="1:5" x14ac:dyDescent="0.25">
      <c r="A1" s="1" t="s">
        <v>89</v>
      </c>
      <c r="B1" s="1" t="s">
        <v>61</v>
      </c>
      <c r="C1" s="1" t="s">
        <v>62</v>
      </c>
      <c r="D1" s="1" t="s">
        <v>63</v>
      </c>
      <c r="E1" s="1" t="s">
        <v>64</v>
      </c>
    </row>
    <row r="2" spans="1:5" x14ac:dyDescent="0.25">
      <c r="A2" s="4" t="s">
        <v>3</v>
      </c>
      <c r="B2" s="4" t="s">
        <v>65</v>
      </c>
      <c r="C2" s="6">
        <v>49</v>
      </c>
      <c r="D2" s="5">
        <v>45292</v>
      </c>
      <c r="E2" s="4"/>
    </row>
    <row r="3" spans="1:5" x14ac:dyDescent="0.25">
      <c r="A3" s="4" t="s">
        <v>4</v>
      </c>
      <c r="B3" s="4" t="s">
        <v>66</v>
      </c>
      <c r="C3" s="7">
        <v>149</v>
      </c>
      <c r="D3" s="5">
        <v>45296</v>
      </c>
      <c r="E3" s="5">
        <v>45448</v>
      </c>
    </row>
    <row r="4" spans="1:5" x14ac:dyDescent="0.25">
      <c r="A4" s="4" t="s">
        <v>5</v>
      </c>
      <c r="B4" s="4" t="s">
        <v>65</v>
      </c>
      <c r="C4" s="7">
        <v>49</v>
      </c>
      <c r="D4" s="5">
        <v>45301</v>
      </c>
      <c r="E4" s="4"/>
    </row>
    <row r="5" spans="1:5" x14ac:dyDescent="0.25">
      <c r="A5" s="4" t="s">
        <v>6</v>
      </c>
      <c r="B5" s="4" t="s">
        <v>60</v>
      </c>
      <c r="C5" s="7">
        <v>299</v>
      </c>
      <c r="D5" s="5">
        <v>45306</v>
      </c>
      <c r="E5" s="4"/>
    </row>
    <row r="6" spans="1:5" x14ac:dyDescent="0.25">
      <c r="A6" s="4" t="s">
        <v>7</v>
      </c>
      <c r="B6" s="4" t="s">
        <v>66</v>
      </c>
      <c r="C6" s="7">
        <v>149</v>
      </c>
      <c r="D6" s="5">
        <v>45311</v>
      </c>
      <c r="E6" s="5">
        <v>45493</v>
      </c>
    </row>
    <row r="7" spans="1:5" x14ac:dyDescent="0.25">
      <c r="A7" s="4" t="s">
        <v>8</v>
      </c>
      <c r="B7" s="4" t="s">
        <v>65</v>
      </c>
      <c r="C7" s="7">
        <v>49</v>
      </c>
      <c r="D7" s="5">
        <v>45323</v>
      </c>
      <c r="E7" s="4"/>
    </row>
    <row r="8" spans="1:5" x14ac:dyDescent="0.25">
      <c r="A8" s="4" t="s">
        <v>9</v>
      </c>
      <c r="B8" s="4" t="s">
        <v>66</v>
      </c>
      <c r="C8" s="7">
        <v>149</v>
      </c>
      <c r="D8" s="5">
        <v>45327</v>
      </c>
      <c r="E8" s="4"/>
    </row>
    <row r="9" spans="1:5" x14ac:dyDescent="0.25">
      <c r="A9" s="4" t="s">
        <v>10</v>
      </c>
      <c r="B9" s="4" t="s">
        <v>65</v>
      </c>
      <c r="C9" s="7">
        <v>49</v>
      </c>
      <c r="D9" s="5">
        <v>45332</v>
      </c>
      <c r="E9" s="5">
        <v>45514</v>
      </c>
    </row>
    <row r="10" spans="1:5" x14ac:dyDescent="0.25">
      <c r="A10" s="4" t="s">
        <v>11</v>
      </c>
      <c r="B10" s="4" t="s">
        <v>60</v>
      </c>
      <c r="C10" s="7">
        <v>299</v>
      </c>
      <c r="D10" s="5">
        <v>45337</v>
      </c>
      <c r="E10" s="4"/>
    </row>
    <row r="11" spans="1:5" x14ac:dyDescent="0.25">
      <c r="A11" s="4" t="s">
        <v>12</v>
      </c>
      <c r="B11" s="4" t="s">
        <v>66</v>
      </c>
      <c r="C11" s="7">
        <v>149</v>
      </c>
      <c r="D11" s="5">
        <v>45342</v>
      </c>
      <c r="E11" s="4"/>
    </row>
    <row r="12" spans="1:5" x14ac:dyDescent="0.25">
      <c r="A12" s="4" t="s">
        <v>13</v>
      </c>
      <c r="B12" s="4" t="s">
        <v>65</v>
      </c>
      <c r="C12" s="7">
        <v>49</v>
      </c>
      <c r="D12" s="5">
        <v>45352</v>
      </c>
      <c r="E12" s="4"/>
    </row>
    <row r="13" spans="1:5" x14ac:dyDescent="0.25">
      <c r="A13" s="4" t="s">
        <v>14</v>
      </c>
      <c r="B13" s="4" t="s">
        <v>66</v>
      </c>
      <c r="C13" s="7">
        <v>149</v>
      </c>
      <c r="D13" s="5">
        <v>45356</v>
      </c>
      <c r="E13" s="5">
        <v>45540</v>
      </c>
    </row>
    <row r="14" spans="1:5" x14ac:dyDescent="0.25">
      <c r="A14" s="4" t="s">
        <v>15</v>
      </c>
      <c r="B14" s="4" t="s">
        <v>60</v>
      </c>
      <c r="C14" s="7">
        <v>299</v>
      </c>
      <c r="D14" s="5">
        <v>45361</v>
      </c>
      <c r="E14" s="4"/>
    </row>
    <row r="15" spans="1:5" x14ac:dyDescent="0.25">
      <c r="A15" s="4" t="s">
        <v>16</v>
      </c>
      <c r="B15" s="4" t="s">
        <v>65</v>
      </c>
      <c r="C15" s="7">
        <v>49</v>
      </c>
      <c r="D15" s="5">
        <v>45366</v>
      </c>
      <c r="E15" s="4"/>
    </row>
    <row r="16" spans="1:5" x14ac:dyDescent="0.25">
      <c r="A16" s="4" t="s">
        <v>17</v>
      </c>
      <c r="B16" s="4" t="s">
        <v>66</v>
      </c>
      <c r="C16" s="7">
        <v>149</v>
      </c>
      <c r="D16" s="5">
        <v>45371</v>
      </c>
      <c r="E16" s="5">
        <v>45585</v>
      </c>
    </row>
    <row r="17" spans="1:5" x14ac:dyDescent="0.25">
      <c r="A17" s="4" t="s">
        <v>18</v>
      </c>
      <c r="B17" s="4" t="s">
        <v>65</v>
      </c>
      <c r="C17" s="7">
        <v>49</v>
      </c>
      <c r="D17" s="5">
        <v>45383</v>
      </c>
      <c r="E17" s="4"/>
    </row>
    <row r="18" spans="1:5" x14ac:dyDescent="0.25">
      <c r="A18" s="4" t="s">
        <v>19</v>
      </c>
      <c r="B18" s="4" t="s">
        <v>66</v>
      </c>
      <c r="C18" s="7">
        <v>149</v>
      </c>
      <c r="D18" s="5">
        <v>45387</v>
      </c>
      <c r="E18" s="4"/>
    </row>
    <row r="19" spans="1:5" x14ac:dyDescent="0.25">
      <c r="A19" s="4" t="s">
        <v>20</v>
      </c>
      <c r="B19" s="4" t="s">
        <v>60</v>
      </c>
      <c r="C19" s="7">
        <v>299</v>
      </c>
      <c r="D19" s="5">
        <v>45392</v>
      </c>
      <c r="E19" s="5">
        <v>45636</v>
      </c>
    </row>
    <row r="20" spans="1:5" x14ac:dyDescent="0.25">
      <c r="A20" s="4" t="s">
        <v>21</v>
      </c>
      <c r="B20" s="4" t="s">
        <v>65</v>
      </c>
      <c r="C20" s="7">
        <v>49</v>
      </c>
      <c r="D20" s="5">
        <v>45397</v>
      </c>
      <c r="E20" s="4"/>
    </row>
    <row r="21" spans="1:5" x14ac:dyDescent="0.25">
      <c r="A21" s="4" t="s">
        <v>22</v>
      </c>
      <c r="B21" s="4" t="s">
        <v>66</v>
      </c>
      <c r="C21" s="7">
        <v>149</v>
      </c>
      <c r="D21" s="5">
        <v>45402</v>
      </c>
      <c r="E21" s="4"/>
    </row>
    <row r="22" spans="1:5" x14ac:dyDescent="0.25">
      <c r="A22" s="4" t="s">
        <v>23</v>
      </c>
      <c r="B22" s="4" t="s">
        <v>65</v>
      </c>
      <c r="C22" s="7">
        <v>49</v>
      </c>
      <c r="D22" s="5">
        <v>45413</v>
      </c>
      <c r="E22" s="4"/>
    </row>
    <row r="23" spans="1:5" x14ac:dyDescent="0.25">
      <c r="A23" s="4" t="s">
        <v>24</v>
      </c>
      <c r="B23" s="4" t="s">
        <v>66</v>
      </c>
      <c r="C23" s="7">
        <v>149</v>
      </c>
      <c r="D23" s="5">
        <v>45417</v>
      </c>
      <c r="E23" s="5">
        <v>45601</v>
      </c>
    </row>
    <row r="24" spans="1:5" x14ac:dyDescent="0.25">
      <c r="A24" s="4" t="s">
        <v>25</v>
      </c>
      <c r="B24" s="4" t="s">
        <v>60</v>
      </c>
      <c r="C24" s="7">
        <v>299</v>
      </c>
      <c r="D24" s="5">
        <v>45422</v>
      </c>
      <c r="E24" s="4"/>
    </row>
    <row r="25" spans="1:5" x14ac:dyDescent="0.25">
      <c r="A25" s="4" t="s">
        <v>26</v>
      </c>
      <c r="B25" s="4" t="s">
        <v>65</v>
      </c>
      <c r="C25" s="7">
        <v>49</v>
      </c>
      <c r="D25" s="5">
        <v>45427</v>
      </c>
      <c r="E25" s="4"/>
    </row>
    <row r="26" spans="1:5" x14ac:dyDescent="0.25">
      <c r="A26" s="4" t="s">
        <v>27</v>
      </c>
      <c r="B26" s="4" t="s">
        <v>66</v>
      </c>
      <c r="C26" s="7">
        <v>149</v>
      </c>
      <c r="D26" s="5">
        <v>45432</v>
      </c>
      <c r="E26" s="4"/>
    </row>
    <row r="27" spans="1:5" x14ac:dyDescent="0.25">
      <c r="A27" s="4" t="s">
        <v>28</v>
      </c>
      <c r="B27" s="4" t="s">
        <v>65</v>
      </c>
      <c r="C27" s="7">
        <v>49</v>
      </c>
      <c r="D27" s="5">
        <v>45444</v>
      </c>
      <c r="E27" s="4"/>
    </row>
    <row r="28" spans="1:5" x14ac:dyDescent="0.25">
      <c r="A28" s="4" t="s">
        <v>29</v>
      </c>
      <c r="B28" s="4" t="s">
        <v>66</v>
      </c>
      <c r="C28" s="7">
        <v>149</v>
      </c>
      <c r="D28" s="5">
        <v>45448</v>
      </c>
      <c r="E28" s="5">
        <v>45631</v>
      </c>
    </row>
    <row r="29" spans="1:5" x14ac:dyDescent="0.25">
      <c r="A29" s="4" t="s">
        <v>30</v>
      </c>
      <c r="B29" s="4" t="s">
        <v>60</v>
      </c>
      <c r="C29" s="7">
        <v>299</v>
      </c>
      <c r="D29" s="5">
        <v>45453</v>
      </c>
      <c r="E29" s="4"/>
    </row>
    <row r="30" spans="1:5" x14ac:dyDescent="0.25">
      <c r="A30" s="4" t="s">
        <v>31</v>
      </c>
      <c r="B30" s="4" t="s">
        <v>65</v>
      </c>
      <c r="C30" s="7">
        <v>49</v>
      </c>
      <c r="D30" s="5">
        <v>45458</v>
      </c>
      <c r="E30" s="4"/>
    </row>
    <row r="31" spans="1:5" x14ac:dyDescent="0.25">
      <c r="A31" s="4" t="s">
        <v>32</v>
      </c>
      <c r="B31" s="4" t="s">
        <v>66</v>
      </c>
      <c r="C31" s="7">
        <v>149</v>
      </c>
      <c r="D31" s="5">
        <v>45463</v>
      </c>
      <c r="E31" s="4"/>
    </row>
    <row r="32" spans="1:5" x14ac:dyDescent="0.25">
      <c r="A32" s="4" t="s">
        <v>33</v>
      </c>
      <c r="B32" s="4" t="s">
        <v>65</v>
      </c>
      <c r="C32" s="7">
        <v>49</v>
      </c>
      <c r="D32" s="5">
        <v>45474</v>
      </c>
      <c r="E32" s="4"/>
    </row>
    <row r="33" spans="1:5" x14ac:dyDescent="0.25">
      <c r="A33" s="4" t="s">
        <v>34</v>
      </c>
      <c r="B33" s="4" t="s">
        <v>66</v>
      </c>
      <c r="C33" s="7">
        <v>149</v>
      </c>
      <c r="D33" s="5">
        <v>45478</v>
      </c>
      <c r="E33" s="4"/>
    </row>
    <row r="34" spans="1:5" x14ac:dyDescent="0.25">
      <c r="A34" s="4" t="s">
        <v>35</v>
      </c>
      <c r="B34" s="4" t="s">
        <v>60</v>
      </c>
      <c r="C34" s="7">
        <v>299</v>
      </c>
      <c r="D34" s="5">
        <v>45483</v>
      </c>
      <c r="E34" s="4"/>
    </row>
    <row r="35" spans="1:5" x14ac:dyDescent="0.25">
      <c r="A35" s="4" t="s">
        <v>36</v>
      </c>
      <c r="B35" s="4" t="s">
        <v>65</v>
      </c>
      <c r="C35" s="7">
        <v>49</v>
      </c>
      <c r="D35" s="5">
        <v>45488</v>
      </c>
      <c r="E35" s="5">
        <v>45672</v>
      </c>
    </row>
    <row r="36" spans="1:5" x14ac:dyDescent="0.25">
      <c r="A36" s="4" t="s">
        <v>37</v>
      </c>
      <c r="B36" s="4" t="s">
        <v>66</v>
      </c>
      <c r="C36" s="7">
        <v>149</v>
      </c>
      <c r="D36" s="5">
        <v>45493</v>
      </c>
      <c r="E36" s="4"/>
    </row>
    <row r="37" spans="1:5" x14ac:dyDescent="0.25">
      <c r="A37" s="4" t="s">
        <v>38</v>
      </c>
      <c r="B37" s="4" t="s">
        <v>65</v>
      </c>
      <c r="C37" s="7">
        <v>49</v>
      </c>
      <c r="D37" s="5">
        <v>45505</v>
      </c>
      <c r="E37" s="4"/>
    </row>
    <row r="38" spans="1:5" x14ac:dyDescent="0.25">
      <c r="A38" s="4" t="s">
        <v>39</v>
      </c>
      <c r="B38" s="4" t="s">
        <v>66</v>
      </c>
      <c r="C38" s="7">
        <v>149</v>
      </c>
      <c r="D38" s="5">
        <v>45509</v>
      </c>
      <c r="E38" s="5">
        <v>45693</v>
      </c>
    </row>
    <row r="39" spans="1:5" x14ac:dyDescent="0.25">
      <c r="A39" s="4" t="s">
        <v>40</v>
      </c>
      <c r="B39" s="4" t="s">
        <v>60</v>
      </c>
      <c r="C39" s="7">
        <v>299</v>
      </c>
      <c r="D39" s="5">
        <v>45514</v>
      </c>
      <c r="E39" s="4"/>
    </row>
    <row r="40" spans="1:5" x14ac:dyDescent="0.25">
      <c r="A40" s="4" t="s">
        <v>41</v>
      </c>
      <c r="B40" s="4" t="s">
        <v>65</v>
      </c>
      <c r="C40" s="7">
        <v>49</v>
      </c>
      <c r="D40" s="5">
        <v>45519</v>
      </c>
      <c r="E40" s="4"/>
    </row>
    <row r="41" spans="1:5" x14ac:dyDescent="0.25">
      <c r="A41" s="4" t="s">
        <v>42</v>
      </c>
      <c r="B41" s="4" t="s">
        <v>66</v>
      </c>
      <c r="C41" s="7">
        <v>149</v>
      </c>
      <c r="D41" s="5">
        <v>45524</v>
      </c>
      <c r="E41" s="4"/>
    </row>
    <row r="42" spans="1:5" x14ac:dyDescent="0.25">
      <c r="A42" s="4" t="s">
        <v>43</v>
      </c>
      <c r="B42" s="4" t="s">
        <v>65</v>
      </c>
      <c r="C42" s="7">
        <v>49</v>
      </c>
      <c r="D42" s="5">
        <v>45536</v>
      </c>
      <c r="E42" s="4"/>
    </row>
    <row r="43" spans="1:5" x14ac:dyDescent="0.25">
      <c r="A43" s="4" t="s">
        <v>44</v>
      </c>
      <c r="B43" s="4" t="s">
        <v>66</v>
      </c>
      <c r="C43" s="7">
        <v>149</v>
      </c>
      <c r="D43" s="5">
        <v>45540</v>
      </c>
      <c r="E43" s="4"/>
    </row>
    <row r="44" spans="1:5" x14ac:dyDescent="0.25">
      <c r="A44" s="4" t="s">
        <v>45</v>
      </c>
      <c r="B44" s="4" t="s">
        <v>60</v>
      </c>
      <c r="C44" s="7">
        <v>299</v>
      </c>
      <c r="D44" s="5">
        <v>45545</v>
      </c>
      <c r="E44" s="4"/>
    </row>
    <row r="45" spans="1:5" x14ac:dyDescent="0.25">
      <c r="A45" s="4" t="s">
        <v>46</v>
      </c>
      <c r="B45" s="4" t="s">
        <v>65</v>
      </c>
      <c r="C45" s="7">
        <v>49</v>
      </c>
      <c r="D45" s="5">
        <v>45550</v>
      </c>
      <c r="E45" s="5">
        <v>45731</v>
      </c>
    </row>
    <row r="46" spans="1:5" x14ac:dyDescent="0.25">
      <c r="A46" s="4" t="s">
        <v>47</v>
      </c>
      <c r="B46" s="4" t="s">
        <v>66</v>
      </c>
      <c r="C46" s="7">
        <v>149</v>
      </c>
      <c r="D46" s="5">
        <v>45555</v>
      </c>
      <c r="E46" s="4"/>
    </row>
    <row r="47" spans="1:5" x14ac:dyDescent="0.25">
      <c r="A47" s="4" t="s">
        <v>48</v>
      </c>
      <c r="B47" s="4" t="s">
        <v>65</v>
      </c>
      <c r="C47" s="7">
        <v>49</v>
      </c>
      <c r="D47" s="5">
        <v>45566</v>
      </c>
      <c r="E47" s="4"/>
    </row>
    <row r="48" spans="1:5" x14ac:dyDescent="0.25">
      <c r="A48" s="4" t="s">
        <v>49</v>
      </c>
      <c r="B48" s="4" t="s">
        <v>66</v>
      </c>
      <c r="C48" s="7">
        <v>149</v>
      </c>
      <c r="D48" s="5">
        <v>45570</v>
      </c>
      <c r="E48" s="4"/>
    </row>
    <row r="49" spans="1:5" x14ac:dyDescent="0.25">
      <c r="A49" s="4" t="s">
        <v>50</v>
      </c>
      <c r="B49" s="4" t="s">
        <v>60</v>
      </c>
      <c r="C49" s="7">
        <v>299</v>
      </c>
      <c r="D49" s="5">
        <v>45575</v>
      </c>
      <c r="E49" s="4"/>
    </row>
    <row r="50" spans="1:5" x14ac:dyDescent="0.25">
      <c r="A50" s="4" t="s">
        <v>51</v>
      </c>
      <c r="B50" s="4" t="s">
        <v>65</v>
      </c>
      <c r="C50" s="7">
        <v>49</v>
      </c>
      <c r="D50" s="5">
        <v>45580</v>
      </c>
      <c r="E50" s="4"/>
    </row>
    <row r="51" spans="1:5" x14ac:dyDescent="0.25">
      <c r="A51" s="4" t="s">
        <v>52</v>
      </c>
      <c r="B51" s="4" t="s">
        <v>66</v>
      </c>
      <c r="C51" s="7">
        <v>149</v>
      </c>
      <c r="D51" s="5">
        <v>45585</v>
      </c>
      <c r="E51" s="4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workbookViewId="0">
      <selection activeCell="D18" sqref="D18"/>
    </sheetView>
  </sheetViews>
  <sheetFormatPr defaultRowHeight="15" x14ac:dyDescent="0.25"/>
  <sheetData>
    <row r="1" spans="1:1" ht="21" x14ac:dyDescent="0.35">
      <c r="A1" s="18" t="s">
        <v>77</v>
      </c>
    </row>
    <row r="3" spans="1:1" x14ac:dyDescent="0.25">
      <c r="A3" t="s">
        <v>78</v>
      </c>
    </row>
    <row r="4" spans="1:1" x14ac:dyDescent="0.25">
      <c r="A4" t="s">
        <v>79</v>
      </c>
    </row>
    <row r="6" spans="1:1" x14ac:dyDescent="0.25">
      <c r="A6" t="s">
        <v>80</v>
      </c>
    </row>
    <row r="7" spans="1:1" x14ac:dyDescent="0.25">
      <c r="A7" t="s">
        <v>81</v>
      </c>
    </row>
    <row r="8" spans="1:1" x14ac:dyDescent="0.25">
      <c r="A8" t="s">
        <v>82</v>
      </c>
    </row>
    <row r="9" spans="1:1" x14ac:dyDescent="0.25">
      <c r="A9" t="s">
        <v>83</v>
      </c>
    </row>
    <row r="11" spans="1:1" x14ac:dyDescent="0.25">
      <c r="A11" t="s">
        <v>84</v>
      </c>
    </row>
    <row r="12" spans="1:1" x14ac:dyDescent="0.25">
      <c r="A12" t="s">
        <v>85</v>
      </c>
    </row>
    <row r="13" spans="1:1" x14ac:dyDescent="0.25">
      <c r="A13" t="s">
        <v>86</v>
      </c>
    </row>
    <row r="14" spans="1:1" x14ac:dyDescent="0.25">
      <c r="A14" t="s">
        <v>87</v>
      </c>
    </row>
    <row r="16" spans="1:1" x14ac:dyDescent="0.25">
      <c r="A16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selection activeCell="G17" sqref="G17"/>
    </sheetView>
  </sheetViews>
  <sheetFormatPr defaultRowHeight="15" x14ac:dyDescent="0.25"/>
  <cols>
    <col min="1" max="1" width="19" customWidth="1"/>
    <col min="2" max="2" width="16" style="21" customWidth="1"/>
    <col min="3" max="3" width="19.42578125" customWidth="1"/>
    <col min="4" max="4" width="19.5703125" customWidth="1"/>
    <col min="5" max="5" width="18.7109375" customWidth="1"/>
  </cols>
  <sheetData>
    <row r="1" spans="1:5" x14ac:dyDescent="0.25">
      <c r="A1" s="2" t="s">
        <v>89</v>
      </c>
      <c r="B1" s="20" t="s">
        <v>0</v>
      </c>
      <c r="C1" s="2" t="s">
        <v>1</v>
      </c>
      <c r="D1" s="2" t="s">
        <v>95</v>
      </c>
      <c r="E1" s="2" t="s">
        <v>2</v>
      </c>
    </row>
    <row r="2" spans="1:5" x14ac:dyDescent="0.25">
      <c r="A2" t="s">
        <v>3</v>
      </c>
      <c r="B2" s="3">
        <v>45293</v>
      </c>
      <c r="C2" t="s">
        <v>53</v>
      </c>
      <c r="D2" t="s">
        <v>56</v>
      </c>
      <c r="E2" t="s">
        <v>59</v>
      </c>
    </row>
    <row r="3" spans="1:5" x14ac:dyDescent="0.25">
      <c r="A3" t="s">
        <v>4</v>
      </c>
      <c r="B3" s="3">
        <v>45294</v>
      </c>
      <c r="C3" t="s">
        <v>54</v>
      </c>
      <c r="D3" t="s">
        <v>57</v>
      </c>
      <c r="E3" t="s">
        <v>96</v>
      </c>
    </row>
    <row r="4" spans="1:5" x14ac:dyDescent="0.25">
      <c r="A4" t="s">
        <v>5</v>
      </c>
      <c r="B4" s="3">
        <v>45296</v>
      </c>
      <c r="C4" t="s">
        <v>55</v>
      </c>
      <c r="D4" t="s">
        <v>58</v>
      </c>
      <c r="E4" t="s">
        <v>60</v>
      </c>
    </row>
    <row r="5" spans="1:5" x14ac:dyDescent="0.25">
      <c r="A5" t="s">
        <v>6</v>
      </c>
      <c r="B5" s="3">
        <v>45296</v>
      </c>
      <c r="C5" t="s">
        <v>53</v>
      </c>
      <c r="D5" t="s">
        <v>56</v>
      </c>
      <c r="E5" t="s">
        <v>59</v>
      </c>
    </row>
    <row r="6" spans="1:5" x14ac:dyDescent="0.25">
      <c r="A6" t="s">
        <v>7</v>
      </c>
      <c r="B6" s="3">
        <v>45298</v>
      </c>
      <c r="C6" t="s">
        <v>53</v>
      </c>
      <c r="D6" t="s">
        <v>57</v>
      </c>
      <c r="E6" t="s">
        <v>59</v>
      </c>
    </row>
    <row r="7" spans="1:5" x14ac:dyDescent="0.25">
      <c r="A7" t="s">
        <v>8</v>
      </c>
      <c r="B7" s="3">
        <v>45300</v>
      </c>
      <c r="C7" t="s">
        <v>54</v>
      </c>
      <c r="D7" t="s">
        <v>56</v>
      </c>
      <c r="E7" t="s">
        <v>96</v>
      </c>
    </row>
    <row r="8" spans="1:5" x14ac:dyDescent="0.25">
      <c r="A8" t="s">
        <v>9</v>
      </c>
      <c r="B8" s="3">
        <v>45301</v>
      </c>
      <c r="C8" t="s">
        <v>55</v>
      </c>
      <c r="D8" t="s">
        <v>58</v>
      </c>
      <c r="E8" t="s">
        <v>60</v>
      </c>
    </row>
    <row r="9" spans="1:5" x14ac:dyDescent="0.25">
      <c r="A9" t="s">
        <v>10</v>
      </c>
      <c r="B9" s="3">
        <v>45303</v>
      </c>
      <c r="C9" t="s">
        <v>53</v>
      </c>
      <c r="D9" t="s">
        <v>57</v>
      </c>
      <c r="E9" t="s">
        <v>59</v>
      </c>
    </row>
    <row r="10" spans="1:5" x14ac:dyDescent="0.25">
      <c r="A10" t="s">
        <v>11</v>
      </c>
      <c r="B10" s="3">
        <v>45305</v>
      </c>
      <c r="C10" t="s">
        <v>54</v>
      </c>
      <c r="D10" t="s">
        <v>56</v>
      </c>
      <c r="E10" t="s">
        <v>96</v>
      </c>
    </row>
    <row r="11" spans="1:5" x14ac:dyDescent="0.25">
      <c r="A11" t="s">
        <v>12</v>
      </c>
      <c r="B11" s="3">
        <v>45306</v>
      </c>
      <c r="C11" t="s">
        <v>55</v>
      </c>
      <c r="D11" t="s">
        <v>56</v>
      </c>
      <c r="E11" t="s">
        <v>96</v>
      </c>
    </row>
    <row r="12" spans="1:5" x14ac:dyDescent="0.25">
      <c r="A12" t="s">
        <v>13</v>
      </c>
      <c r="B12" s="3">
        <v>45309</v>
      </c>
      <c r="C12" t="s">
        <v>53</v>
      </c>
      <c r="D12" t="s">
        <v>58</v>
      </c>
      <c r="E12" t="s">
        <v>60</v>
      </c>
    </row>
    <row r="13" spans="1:5" x14ac:dyDescent="0.25">
      <c r="A13" t="s">
        <v>14</v>
      </c>
      <c r="B13" s="3">
        <v>45310</v>
      </c>
      <c r="C13" t="s">
        <v>53</v>
      </c>
      <c r="D13" t="s">
        <v>57</v>
      </c>
      <c r="E13" t="s">
        <v>59</v>
      </c>
    </row>
    <row r="14" spans="1:5" x14ac:dyDescent="0.25">
      <c r="A14" t="s">
        <v>15</v>
      </c>
      <c r="B14" s="3">
        <v>45312</v>
      </c>
      <c r="C14" t="s">
        <v>54</v>
      </c>
      <c r="D14" t="s">
        <v>56</v>
      </c>
      <c r="E14" t="s">
        <v>96</v>
      </c>
    </row>
    <row r="15" spans="1:5" x14ac:dyDescent="0.25">
      <c r="A15" t="s">
        <v>16</v>
      </c>
      <c r="B15" s="3">
        <v>45313</v>
      </c>
      <c r="C15" t="s">
        <v>55</v>
      </c>
      <c r="D15" t="s">
        <v>58</v>
      </c>
      <c r="E15" t="s">
        <v>60</v>
      </c>
    </row>
    <row r="16" spans="1:5" x14ac:dyDescent="0.25">
      <c r="A16" t="s">
        <v>17</v>
      </c>
      <c r="B16" s="3">
        <v>45315</v>
      </c>
      <c r="C16" t="s">
        <v>53</v>
      </c>
      <c r="D16" t="s">
        <v>56</v>
      </c>
      <c r="E16" t="s">
        <v>59</v>
      </c>
    </row>
    <row r="17" spans="1:5" x14ac:dyDescent="0.25">
      <c r="A17" t="s">
        <v>18</v>
      </c>
      <c r="B17" s="3">
        <v>45317</v>
      </c>
      <c r="C17" t="s">
        <v>54</v>
      </c>
      <c r="D17" t="s">
        <v>57</v>
      </c>
      <c r="E17" t="s">
        <v>96</v>
      </c>
    </row>
    <row r="18" spans="1:5" x14ac:dyDescent="0.25">
      <c r="A18" t="s">
        <v>19</v>
      </c>
      <c r="B18" s="3">
        <v>45319</v>
      </c>
      <c r="C18" t="s">
        <v>53</v>
      </c>
      <c r="D18" t="s">
        <v>58</v>
      </c>
      <c r="E18" t="s">
        <v>59</v>
      </c>
    </row>
    <row r="19" spans="1:5" x14ac:dyDescent="0.25">
      <c r="A19" t="s">
        <v>20</v>
      </c>
      <c r="B19" s="3">
        <v>45320</v>
      </c>
      <c r="C19" t="s">
        <v>55</v>
      </c>
      <c r="D19" t="s">
        <v>56</v>
      </c>
      <c r="E19" t="s">
        <v>60</v>
      </c>
    </row>
    <row r="20" spans="1:5" x14ac:dyDescent="0.25">
      <c r="A20" t="s">
        <v>21</v>
      </c>
      <c r="B20" s="3">
        <v>45322</v>
      </c>
      <c r="C20" t="s">
        <v>54</v>
      </c>
      <c r="D20" t="s">
        <v>57</v>
      </c>
      <c r="E20" t="s">
        <v>96</v>
      </c>
    </row>
    <row r="21" spans="1:5" x14ac:dyDescent="0.25">
      <c r="A21" t="s">
        <v>22</v>
      </c>
      <c r="B21" s="3">
        <v>45323</v>
      </c>
      <c r="C21" t="s">
        <v>53</v>
      </c>
      <c r="D21" t="s">
        <v>56</v>
      </c>
      <c r="E21" t="s">
        <v>59</v>
      </c>
    </row>
    <row r="22" spans="1:5" x14ac:dyDescent="0.25">
      <c r="A22" t="s">
        <v>23</v>
      </c>
      <c r="B22" s="3">
        <v>45324</v>
      </c>
      <c r="C22" t="s">
        <v>55</v>
      </c>
      <c r="D22" t="s">
        <v>58</v>
      </c>
      <c r="E22" t="s">
        <v>60</v>
      </c>
    </row>
    <row r="23" spans="1:5" x14ac:dyDescent="0.25">
      <c r="A23" t="s">
        <v>24</v>
      </c>
      <c r="B23" s="3">
        <v>45326</v>
      </c>
      <c r="C23" t="s">
        <v>54</v>
      </c>
      <c r="D23" t="s">
        <v>57</v>
      </c>
      <c r="E23" t="s">
        <v>96</v>
      </c>
    </row>
    <row r="24" spans="1:5" x14ac:dyDescent="0.25">
      <c r="A24" t="s">
        <v>25</v>
      </c>
      <c r="B24" s="3">
        <v>45328</v>
      </c>
      <c r="C24" t="s">
        <v>53</v>
      </c>
      <c r="D24" t="s">
        <v>56</v>
      </c>
      <c r="E24" t="s">
        <v>59</v>
      </c>
    </row>
    <row r="25" spans="1:5" x14ac:dyDescent="0.25">
      <c r="A25" t="s">
        <v>26</v>
      </c>
      <c r="B25" s="3">
        <v>45329</v>
      </c>
      <c r="C25" t="s">
        <v>55</v>
      </c>
      <c r="D25" t="s">
        <v>58</v>
      </c>
      <c r="E25" t="s">
        <v>60</v>
      </c>
    </row>
    <row r="26" spans="1:5" x14ac:dyDescent="0.25">
      <c r="A26" t="s">
        <v>27</v>
      </c>
      <c r="B26" s="3">
        <v>45331</v>
      </c>
      <c r="C26" t="s">
        <v>53</v>
      </c>
      <c r="D26" t="s">
        <v>57</v>
      </c>
      <c r="E26" t="s">
        <v>96</v>
      </c>
    </row>
    <row r="27" spans="1:5" x14ac:dyDescent="0.25">
      <c r="A27" t="s">
        <v>28</v>
      </c>
      <c r="B27" s="3">
        <v>45333</v>
      </c>
      <c r="C27" t="s">
        <v>54</v>
      </c>
      <c r="D27" t="s">
        <v>56</v>
      </c>
      <c r="E27" t="s">
        <v>59</v>
      </c>
    </row>
    <row r="28" spans="1:5" x14ac:dyDescent="0.25">
      <c r="A28" t="s">
        <v>29</v>
      </c>
      <c r="B28" s="3">
        <v>45335</v>
      </c>
      <c r="C28" t="s">
        <v>55</v>
      </c>
      <c r="D28" t="s">
        <v>56</v>
      </c>
      <c r="E28" t="s">
        <v>96</v>
      </c>
    </row>
    <row r="29" spans="1:5" x14ac:dyDescent="0.25">
      <c r="A29" t="s">
        <v>30</v>
      </c>
      <c r="B29" s="3">
        <v>45336</v>
      </c>
      <c r="C29" t="s">
        <v>53</v>
      </c>
      <c r="D29" t="s">
        <v>58</v>
      </c>
      <c r="E29" t="s">
        <v>60</v>
      </c>
    </row>
    <row r="30" spans="1:5" x14ac:dyDescent="0.25">
      <c r="A30" t="s">
        <v>31</v>
      </c>
      <c r="B30" s="3">
        <v>45338</v>
      </c>
      <c r="C30" t="s">
        <v>54</v>
      </c>
      <c r="D30" t="s">
        <v>57</v>
      </c>
      <c r="E30" t="s">
        <v>59</v>
      </c>
    </row>
    <row r="31" spans="1:5" x14ac:dyDescent="0.25">
      <c r="A31" t="s">
        <v>32</v>
      </c>
      <c r="B31" s="3">
        <v>45340</v>
      </c>
      <c r="C31" t="s">
        <v>55</v>
      </c>
      <c r="D31" t="s">
        <v>56</v>
      </c>
      <c r="E31" t="s">
        <v>96</v>
      </c>
    </row>
    <row r="32" spans="1:5" x14ac:dyDescent="0.25">
      <c r="A32" t="s">
        <v>33</v>
      </c>
      <c r="B32" s="3">
        <v>45342</v>
      </c>
      <c r="C32" t="s">
        <v>53</v>
      </c>
      <c r="D32" t="s">
        <v>58</v>
      </c>
      <c r="E32" t="s">
        <v>60</v>
      </c>
    </row>
    <row r="33" spans="1:5" x14ac:dyDescent="0.25">
      <c r="A33" t="s">
        <v>34</v>
      </c>
      <c r="B33" s="3">
        <v>45344</v>
      </c>
      <c r="C33" t="s">
        <v>54</v>
      </c>
      <c r="D33" t="s">
        <v>57</v>
      </c>
      <c r="E33" t="s">
        <v>59</v>
      </c>
    </row>
    <row r="34" spans="1:5" x14ac:dyDescent="0.25">
      <c r="A34" t="s">
        <v>35</v>
      </c>
      <c r="B34" s="3">
        <v>45346</v>
      </c>
      <c r="C34" t="s">
        <v>53</v>
      </c>
      <c r="D34" t="s">
        <v>56</v>
      </c>
      <c r="E34" t="s">
        <v>96</v>
      </c>
    </row>
    <row r="35" spans="1:5" x14ac:dyDescent="0.25">
      <c r="A35" t="s">
        <v>36</v>
      </c>
      <c r="B35" s="3">
        <v>45348</v>
      </c>
      <c r="C35" t="s">
        <v>55</v>
      </c>
      <c r="D35" t="s">
        <v>58</v>
      </c>
      <c r="E35" t="s">
        <v>60</v>
      </c>
    </row>
    <row r="36" spans="1:5" x14ac:dyDescent="0.25">
      <c r="A36" t="s">
        <v>37</v>
      </c>
      <c r="B36" s="3">
        <v>45350</v>
      </c>
      <c r="C36" t="s">
        <v>54</v>
      </c>
      <c r="D36" t="s">
        <v>57</v>
      </c>
      <c r="E36" t="s">
        <v>59</v>
      </c>
    </row>
    <row r="37" spans="1:5" x14ac:dyDescent="0.25">
      <c r="A37" t="s">
        <v>38</v>
      </c>
      <c r="B37" s="3">
        <v>45352</v>
      </c>
      <c r="C37" t="s">
        <v>53</v>
      </c>
      <c r="D37" t="s">
        <v>56</v>
      </c>
      <c r="E37" t="s">
        <v>96</v>
      </c>
    </row>
    <row r="38" spans="1:5" x14ac:dyDescent="0.25">
      <c r="A38" t="s">
        <v>39</v>
      </c>
      <c r="B38" s="3">
        <v>45354</v>
      </c>
      <c r="C38" t="s">
        <v>55</v>
      </c>
      <c r="D38" t="s">
        <v>58</v>
      </c>
      <c r="E38" t="s">
        <v>60</v>
      </c>
    </row>
    <row r="39" spans="1:5" x14ac:dyDescent="0.25">
      <c r="A39" t="s">
        <v>40</v>
      </c>
      <c r="B39" s="3">
        <v>45356</v>
      </c>
      <c r="C39" t="s">
        <v>53</v>
      </c>
      <c r="D39" t="s">
        <v>57</v>
      </c>
      <c r="E39" t="s">
        <v>59</v>
      </c>
    </row>
    <row r="40" spans="1:5" x14ac:dyDescent="0.25">
      <c r="A40" t="s">
        <v>41</v>
      </c>
      <c r="B40" s="3">
        <v>45358</v>
      </c>
      <c r="C40" t="s">
        <v>54</v>
      </c>
      <c r="D40" t="s">
        <v>56</v>
      </c>
      <c r="E40" t="s">
        <v>96</v>
      </c>
    </row>
    <row r="41" spans="1:5" x14ac:dyDescent="0.25">
      <c r="A41" t="s">
        <v>42</v>
      </c>
      <c r="B41" s="3">
        <v>45360</v>
      </c>
      <c r="C41" t="s">
        <v>55</v>
      </c>
      <c r="D41" t="s">
        <v>58</v>
      </c>
      <c r="E41" t="s">
        <v>60</v>
      </c>
    </row>
    <row r="42" spans="1:5" x14ac:dyDescent="0.25">
      <c r="A42" t="s">
        <v>43</v>
      </c>
      <c r="B42" s="3">
        <v>45362</v>
      </c>
      <c r="C42" t="s">
        <v>53</v>
      </c>
      <c r="D42" t="s">
        <v>57</v>
      </c>
      <c r="E42" t="s">
        <v>59</v>
      </c>
    </row>
    <row r="43" spans="1:5" x14ac:dyDescent="0.25">
      <c r="A43" t="s">
        <v>44</v>
      </c>
      <c r="B43" s="3">
        <v>45364</v>
      </c>
      <c r="C43" t="s">
        <v>54</v>
      </c>
      <c r="D43" t="s">
        <v>56</v>
      </c>
      <c r="E43" t="s">
        <v>96</v>
      </c>
    </row>
    <row r="44" spans="1:5" x14ac:dyDescent="0.25">
      <c r="A44" t="s">
        <v>45</v>
      </c>
      <c r="B44" s="3">
        <v>45366</v>
      </c>
      <c r="C44" t="s">
        <v>55</v>
      </c>
      <c r="D44" t="s">
        <v>58</v>
      </c>
      <c r="E44" t="s">
        <v>60</v>
      </c>
    </row>
    <row r="45" spans="1:5" x14ac:dyDescent="0.25">
      <c r="A45" t="s">
        <v>46</v>
      </c>
      <c r="B45" s="3">
        <v>45368</v>
      </c>
      <c r="C45" t="s">
        <v>53</v>
      </c>
      <c r="D45" t="s">
        <v>57</v>
      </c>
      <c r="E45" t="s">
        <v>59</v>
      </c>
    </row>
    <row r="46" spans="1:5" x14ac:dyDescent="0.25">
      <c r="A46" t="s">
        <v>47</v>
      </c>
      <c r="B46" s="3">
        <v>45370</v>
      </c>
      <c r="C46" t="s">
        <v>54</v>
      </c>
      <c r="D46" t="s">
        <v>56</v>
      </c>
      <c r="E46" t="s">
        <v>96</v>
      </c>
    </row>
    <row r="47" spans="1:5" x14ac:dyDescent="0.25">
      <c r="A47" t="s">
        <v>48</v>
      </c>
      <c r="B47" s="3">
        <v>45372</v>
      </c>
      <c r="C47" t="s">
        <v>55</v>
      </c>
      <c r="D47" t="s">
        <v>58</v>
      </c>
      <c r="E47" t="s">
        <v>60</v>
      </c>
    </row>
    <row r="48" spans="1:5" x14ac:dyDescent="0.25">
      <c r="A48" t="s">
        <v>49</v>
      </c>
      <c r="B48" s="3">
        <v>45374</v>
      </c>
      <c r="C48" t="s">
        <v>53</v>
      </c>
      <c r="D48" t="s">
        <v>56</v>
      </c>
      <c r="E48" t="s">
        <v>59</v>
      </c>
    </row>
    <row r="49" spans="1:5" x14ac:dyDescent="0.25">
      <c r="A49" t="s">
        <v>50</v>
      </c>
      <c r="B49" s="3">
        <v>45376</v>
      </c>
      <c r="C49" t="s">
        <v>54</v>
      </c>
      <c r="D49" t="s">
        <v>57</v>
      </c>
      <c r="E49" t="s">
        <v>96</v>
      </c>
    </row>
    <row r="50" spans="1:5" x14ac:dyDescent="0.25">
      <c r="A50" t="s">
        <v>51</v>
      </c>
      <c r="B50" s="3">
        <v>45378</v>
      </c>
      <c r="C50" t="s">
        <v>55</v>
      </c>
      <c r="D50" t="s">
        <v>58</v>
      </c>
      <c r="E50" t="s">
        <v>60</v>
      </c>
    </row>
    <row r="51" spans="1:5" x14ac:dyDescent="0.25">
      <c r="A51" t="s">
        <v>52</v>
      </c>
      <c r="B51" s="3">
        <v>45380</v>
      </c>
      <c r="C51" t="s">
        <v>53</v>
      </c>
      <c r="D51" t="s">
        <v>56</v>
      </c>
      <c r="E51" t="s">
        <v>59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B10" sqref="B10"/>
    </sheetView>
  </sheetViews>
  <sheetFormatPr defaultRowHeight="15" x14ac:dyDescent="0.25"/>
  <cols>
    <col min="1" max="1" width="13.140625" customWidth="1"/>
    <col min="2" max="2" width="14.5703125" customWidth="1"/>
    <col min="3" max="3" width="8.5703125" customWidth="1"/>
    <col min="4" max="4" width="11.28515625" bestFit="1" customWidth="1"/>
  </cols>
  <sheetData>
    <row r="3" spans="1:2" x14ac:dyDescent="0.25">
      <c r="A3" s="15" t="s">
        <v>73</v>
      </c>
      <c r="B3" t="s">
        <v>94</v>
      </c>
    </row>
    <row r="4" spans="1:2" x14ac:dyDescent="0.25">
      <c r="A4" s="16" t="s">
        <v>92</v>
      </c>
      <c r="B4" s="17">
        <v>39</v>
      </c>
    </row>
    <row r="5" spans="1:2" x14ac:dyDescent="0.25">
      <c r="A5" s="16" t="s">
        <v>93</v>
      </c>
      <c r="B5" s="17">
        <v>11</v>
      </c>
    </row>
    <row r="6" spans="1:2" x14ac:dyDescent="0.25">
      <c r="A6" s="16" t="s">
        <v>74</v>
      </c>
      <c r="B6" s="17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opLeftCell="A13" zoomScaleNormal="100" workbookViewId="0">
      <selection activeCell="F10" sqref="F10"/>
    </sheetView>
  </sheetViews>
  <sheetFormatPr defaultRowHeight="15" x14ac:dyDescent="0.25"/>
  <cols>
    <col min="1" max="1" width="17.42578125" customWidth="1"/>
    <col min="2" max="2" width="15.42578125" customWidth="1"/>
    <col min="3" max="3" width="15.140625" customWidth="1"/>
    <col min="4" max="4" width="14.7109375" customWidth="1"/>
    <col min="5" max="5" width="13.7109375" customWidth="1"/>
    <col min="6" max="6" width="10.7109375" customWidth="1"/>
    <col min="7" max="7" width="34.140625" customWidth="1"/>
    <col min="8" max="8" width="22.140625" customWidth="1"/>
    <col min="9" max="9" width="22.7109375" customWidth="1"/>
  </cols>
  <sheetData>
    <row r="1" spans="1:9" x14ac:dyDescent="0.25">
      <c r="A1" s="9" t="s">
        <v>89</v>
      </c>
      <c r="B1" s="9" t="s">
        <v>67</v>
      </c>
      <c r="C1" s="9" t="s">
        <v>69</v>
      </c>
      <c r="D1" s="9" t="s">
        <v>62</v>
      </c>
      <c r="E1" s="9" t="s">
        <v>68</v>
      </c>
    </row>
    <row r="2" spans="1:9" x14ac:dyDescent="0.25">
      <c r="A2" s="10" t="s">
        <v>3</v>
      </c>
      <c r="B2" s="8" t="str">
        <f>VLOOKUP(A2, Customer!A:E, 5, FALSE)</f>
        <v>SMB</v>
      </c>
      <c r="C2" s="8" t="str">
        <f>VLOOKUP(A2,Customer!$A$1:$E$51,4,FALSE)</f>
        <v>Google Ads</v>
      </c>
      <c r="D2" s="11">
        <f>VLOOKUP(A2,Subscriptions!$A$1:$E$51,3,FALSE)</f>
        <v>49</v>
      </c>
      <c r="E2" s="8" t="str">
        <f>IF(VLOOKUP(A2,Subscriptions!$A$1:$E$51,5,FALSE)="","Active","Churned")</f>
        <v>Active</v>
      </c>
    </row>
    <row r="3" spans="1:9" x14ac:dyDescent="0.25">
      <c r="A3" s="10" t="s">
        <v>4</v>
      </c>
      <c r="B3" s="8" t="str">
        <f>VLOOKUP(A3, Customer!A:E, 5, FALSE)</f>
        <v>Mid-Market</v>
      </c>
      <c r="C3" s="8" t="str">
        <f>VLOOKUP(A3,Customer!$A$1:$E$51,4,FALSE)</f>
        <v>Organic</v>
      </c>
      <c r="D3" s="11">
        <f>VLOOKUP(A3,Subscriptions!$A$1:$E$51,3,FALSE)</f>
        <v>149</v>
      </c>
      <c r="E3" s="8" t="str">
        <f>IF(VLOOKUP(A3,Subscriptions!$A$1:$E$51,5,FALSE)="","Active","Churned")</f>
        <v>Churned</v>
      </c>
      <c r="G3" s="12" t="s">
        <v>72</v>
      </c>
      <c r="H3" s="9" t="s">
        <v>71</v>
      </c>
      <c r="I3" s="9" t="s">
        <v>70</v>
      </c>
    </row>
    <row r="4" spans="1:9" x14ac:dyDescent="0.25">
      <c r="A4" s="10" t="s">
        <v>5</v>
      </c>
      <c r="B4" s="8" t="str">
        <f>VLOOKUP(A4, Customer!A:E, 5, FALSE)</f>
        <v>Enterprise</v>
      </c>
      <c r="C4" s="8" t="str">
        <f>VLOOKUP(A4,Customer!$A$1:$E$51,4,FALSE)</f>
        <v>LinkedIn Ads</v>
      </c>
      <c r="D4" s="11">
        <f>VLOOKUP(A4,Subscriptions!$A$1:$E$51,3,FALSE)</f>
        <v>49</v>
      </c>
      <c r="E4" s="8" t="str">
        <f>IF(VLOOKUP(A4,Subscriptions!$A$1:$E$51,5,FALSE)="","Active","Churned")</f>
        <v>Active</v>
      </c>
      <c r="G4" s="13">
        <f>SUMIFS(D:D,E:E,"Active")</f>
        <v>5461</v>
      </c>
      <c r="H4" s="14">
        <f>COUNTIF(E2:E51,"Churned")/COUNTA(A2:A51)</f>
        <v>0.22</v>
      </c>
      <c r="I4" s="13">
        <f>COUNTIF(E:E,"Active")</f>
        <v>39</v>
      </c>
    </row>
    <row r="5" spans="1:9" x14ac:dyDescent="0.25">
      <c r="A5" s="10" t="s">
        <v>6</v>
      </c>
      <c r="B5" s="8" t="str">
        <f>VLOOKUP(A5, Customer!A:E, 5, FALSE)</f>
        <v>SMB</v>
      </c>
      <c r="C5" s="8" t="str">
        <f>VLOOKUP(A5,Customer!$A$1:$E$51,4,FALSE)</f>
        <v>Google Ads</v>
      </c>
      <c r="D5" s="11">
        <f>VLOOKUP(A5,Subscriptions!$A$1:$E$51,3,FALSE)</f>
        <v>299</v>
      </c>
      <c r="E5" s="8" t="str">
        <f>IF(VLOOKUP(A5,Subscriptions!$A$1:$E$51,5,FALSE)="","Active","Churned")</f>
        <v>Active</v>
      </c>
    </row>
    <row r="6" spans="1:9" x14ac:dyDescent="0.25">
      <c r="A6" s="10" t="s">
        <v>7</v>
      </c>
      <c r="B6" s="8" t="str">
        <f>VLOOKUP(A6, Customer!A:E, 5, FALSE)</f>
        <v>SMB</v>
      </c>
      <c r="C6" s="8" t="str">
        <f>VLOOKUP(A6,Customer!$A$1:$E$51,4,FALSE)</f>
        <v>Organic</v>
      </c>
      <c r="D6" s="11">
        <f>VLOOKUP(A6,Subscriptions!$A$1:$E$51,3,FALSE)</f>
        <v>149</v>
      </c>
      <c r="E6" s="8" t="str">
        <f>IF(VLOOKUP(A6,Subscriptions!$A$1:$E$51,5,FALSE)="","Active","Churned")</f>
        <v>Churned</v>
      </c>
    </row>
    <row r="7" spans="1:9" x14ac:dyDescent="0.25">
      <c r="A7" s="10" t="s">
        <v>8</v>
      </c>
      <c r="B7" s="8" t="str">
        <f>VLOOKUP(A7, Customer!A:E, 5, FALSE)</f>
        <v>Mid-Market</v>
      </c>
      <c r="C7" s="8" t="str">
        <f>VLOOKUP(A7,Customer!$A$1:$E$51,4,FALSE)</f>
        <v>Google Ads</v>
      </c>
      <c r="D7" s="11">
        <f>VLOOKUP(A7,Subscriptions!$A$1:$E$51,3,FALSE)</f>
        <v>49</v>
      </c>
      <c r="E7" s="8" t="str">
        <f>IF(VLOOKUP(A7,Subscriptions!$A$1:$E$51,5,FALSE)="","Active","Churned")</f>
        <v>Active</v>
      </c>
    </row>
    <row r="8" spans="1:9" x14ac:dyDescent="0.25">
      <c r="A8" s="10" t="s">
        <v>9</v>
      </c>
      <c r="B8" s="8" t="str">
        <f>VLOOKUP(A8, Customer!A:E, 5, FALSE)</f>
        <v>Enterprise</v>
      </c>
      <c r="C8" s="8" t="str">
        <f>VLOOKUP(A8,Customer!$A$1:$E$51,4,FALSE)</f>
        <v>LinkedIn Ads</v>
      </c>
      <c r="D8" s="11">
        <f>VLOOKUP(A8,Subscriptions!$A$1:$E$51,3,FALSE)</f>
        <v>149</v>
      </c>
      <c r="E8" s="8" t="str">
        <f>IF(VLOOKUP(A8,Subscriptions!$A$1:$E$51,5,FALSE)="","Active","Churned")</f>
        <v>Active</v>
      </c>
    </row>
    <row r="9" spans="1:9" x14ac:dyDescent="0.25">
      <c r="A9" s="10" t="s">
        <v>10</v>
      </c>
      <c r="B9" s="8" t="str">
        <f>VLOOKUP(A9, Customer!A:E, 5, FALSE)</f>
        <v>SMB</v>
      </c>
      <c r="C9" s="8" t="str">
        <f>VLOOKUP(A9,Customer!$A$1:$E$51,4,FALSE)</f>
        <v>Organic</v>
      </c>
      <c r="D9" s="11">
        <f>VLOOKUP(A9,Subscriptions!$A$1:$E$51,3,FALSE)</f>
        <v>49</v>
      </c>
      <c r="E9" s="8" t="str">
        <f>IF(VLOOKUP(A9,Subscriptions!$A$1:$E$51,5,FALSE)="","Active","Churned")</f>
        <v>Churned</v>
      </c>
    </row>
    <row r="10" spans="1:9" x14ac:dyDescent="0.25">
      <c r="A10" s="10" t="s">
        <v>11</v>
      </c>
      <c r="B10" s="8" t="str">
        <f>VLOOKUP(A10, Customer!A:E, 5, FALSE)</f>
        <v>Mid-Market</v>
      </c>
      <c r="C10" s="8" t="str">
        <f>VLOOKUP(A10,Customer!$A$1:$E$51,4,FALSE)</f>
        <v>Google Ads</v>
      </c>
      <c r="D10" s="11">
        <f>VLOOKUP(A10,Subscriptions!$A$1:$E$51,3,FALSE)</f>
        <v>299</v>
      </c>
      <c r="E10" s="8" t="str">
        <f>IF(VLOOKUP(A10,Subscriptions!$A$1:$E$51,5,FALSE)="","Active","Churned")</f>
        <v>Active</v>
      </c>
    </row>
    <row r="11" spans="1:9" x14ac:dyDescent="0.25">
      <c r="A11" s="10" t="s">
        <v>12</v>
      </c>
      <c r="B11" s="8" t="str">
        <f>VLOOKUP(A11, Customer!A:E, 5, FALSE)</f>
        <v>Mid-Market</v>
      </c>
      <c r="C11" s="8" t="str">
        <f>VLOOKUP(A11,Customer!$A$1:$E$51,4,FALSE)</f>
        <v>Google Ads</v>
      </c>
      <c r="D11" s="11">
        <f>VLOOKUP(A11,Subscriptions!$A$1:$E$51,3,FALSE)</f>
        <v>149</v>
      </c>
      <c r="E11" s="8" t="str">
        <f>IF(VLOOKUP(A11,Subscriptions!$A$1:$E$51,5,FALSE)="","Active","Churned")</f>
        <v>Active</v>
      </c>
    </row>
    <row r="12" spans="1:9" x14ac:dyDescent="0.25">
      <c r="A12" s="10" t="s">
        <v>13</v>
      </c>
      <c r="B12" s="8" t="str">
        <f>VLOOKUP(A12, Customer!A:E, 5, FALSE)</f>
        <v>Enterprise</v>
      </c>
      <c r="C12" s="8" t="str">
        <f>VLOOKUP(A12,Customer!$A$1:$E$51,4,FALSE)</f>
        <v>LinkedIn Ads</v>
      </c>
      <c r="D12" s="11">
        <f>VLOOKUP(A12,Subscriptions!$A$1:$E$51,3,FALSE)</f>
        <v>49</v>
      </c>
      <c r="E12" s="8" t="str">
        <f>IF(VLOOKUP(A12,Subscriptions!$A$1:$E$51,5,FALSE)="","Active","Churned")</f>
        <v>Active</v>
      </c>
    </row>
    <row r="13" spans="1:9" x14ac:dyDescent="0.25">
      <c r="A13" s="10" t="s">
        <v>14</v>
      </c>
      <c r="B13" s="8" t="str">
        <f>VLOOKUP(A13, Customer!A:E, 5, FALSE)</f>
        <v>SMB</v>
      </c>
      <c r="C13" s="8" t="str">
        <f>VLOOKUP(A13,Customer!$A$1:$E$51,4,FALSE)</f>
        <v>Organic</v>
      </c>
      <c r="D13" s="11">
        <f>VLOOKUP(A13,Subscriptions!$A$1:$E$51,3,FALSE)</f>
        <v>149</v>
      </c>
      <c r="E13" s="8" t="str">
        <f>IF(VLOOKUP(A13,Subscriptions!$A$1:$E$51,5,FALSE)="","Active","Churned")</f>
        <v>Churned</v>
      </c>
    </row>
    <row r="14" spans="1:9" x14ac:dyDescent="0.25">
      <c r="A14" s="10" t="s">
        <v>15</v>
      </c>
      <c r="B14" s="8" t="str">
        <f>VLOOKUP(A14, Customer!A:E, 5, FALSE)</f>
        <v>Mid-Market</v>
      </c>
      <c r="C14" s="8" t="str">
        <f>VLOOKUP(A14,Customer!$A$1:$E$51,4,FALSE)</f>
        <v>Google Ads</v>
      </c>
      <c r="D14" s="11">
        <f>VLOOKUP(A14,Subscriptions!$A$1:$E$51,3,FALSE)</f>
        <v>299</v>
      </c>
      <c r="E14" s="8" t="str">
        <f>IF(VLOOKUP(A14,Subscriptions!$A$1:$E$51,5,FALSE)="","Active","Churned")</f>
        <v>Active</v>
      </c>
    </row>
    <row r="15" spans="1:9" x14ac:dyDescent="0.25">
      <c r="A15" s="10" t="s">
        <v>16</v>
      </c>
      <c r="B15" s="8" t="str">
        <f>VLOOKUP(A15, Customer!A:E, 5, FALSE)</f>
        <v>Enterprise</v>
      </c>
      <c r="C15" s="8" t="str">
        <f>VLOOKUP(A15,Customer!$A$1:$E$51,4,FALSE)</f>
        <v>LinkedIn Ads</v>
      </c>
      <c r="D15" s="11">
        <f>VLOOKUP(A15,Subscriptions!$A$1:$E$51,3,FALSE)</f>
        <v>49</v>
      </c>
      <c r="E15" s="8" t="str">
        <f>IF(VLOOKUP(A15,Subscriptions!$A$1:$E$51,5,FALSE)="","Active","Churned")</f>
        <v>Active</v>
      </c>
    </row>
    <row r="16" spans="1:9" x14ac:dyDescent="0.25">
      <c r="A16" s="10" t="s">
        <v>17</v>
      </c>
      <c r="B16" s="8" t="str">
        <f>VLOOKUP(A16, Customer!A:E, 5, FALSE)</f>
        <v>SMB</v>
      </c>
      <c r="C16" s="8" t="str">
        <f>VLOOKUP(A16,Customer!$A$1:$E$51,4,FALSE)</f>
        <v>Google Ads</v>
      </c>
      <c r="D16" s="11">
        <f>VLOOKUP(A16,Subscriptions!$A$1:$E$51,3,FALSE)</f>
        <v>149</v>
      </c>
      <c r="E16" s="8" t="str">
        <f>IF(VLOOKUP(A16,Subscriptions!$A$1:$E$51,5,FALSE)="","Active","Churned")</f>
        <v>Churned</v>
      </c>
    </row>
    <row r="17" spans="1:5" x14ac:dyDescent="0.25">
      <c r="A17" s="10" t="s">
        <v>18</v>
      </c>
      <c r="B17" s="8" t="str">
        <f>VLOOKUP(A17, Customer!A:E, 5, FALSE)</f>
        <v>Mid-Market</v>
      </c>
      <c r="C17" s="8" t="str">
        <f>VLOOKUP(A17,Customer!$A$1:$E$51,4,FALSE)</f>
        <v>Organic</v>
      </c>
      <c r="D17" s="11">
        <f>VLOOKUP(A17,Subscriptions!$A$1:$E$51,3,FALSE)</f>
        <v>49</v>
      </c>
      <c r="E17" s="8" t="str">
        <f>IF(VLOOKUP(A17,Subscriptions!$A$1:$E$51,5,FALSE)="","Active","Churned")</f>
        <v>Active</v>
      </c>
    </row>
    <row r="18" spans="1:5" x14ac:dyDescent="0.25">
      <c r="A18" s="10" t="s">
        <v>19</v>
      </c>
      <c r="B18" s="8" t="str">
        <f>VLOOKUP(A18, Customer!A:E, 5, FALSE)</f>
        <v>SMB</v>
      </c>
      <c r="C18" s="8" t="str">
        <f>VLOOKUP(A18,Customer!$A$1:$E$51,4,FALSE)</f>
        <v>LinkedIn Ads</v>
      </c>
      <c r="D18" s="11">
        <f>VLOOKUP(A18,Subscriptions!$A$1:$E$51,3,FALSE)</f>
        <v>149</v>
      </c>
      <c r="E18" s="8" t="str">
        <f>IF(VLOOKUP(A18,Subscriptions!$A$1:$E$51,5,FALSE)="","Active","Churned")</f>
        <v>Active</v>
      </c>
    </row>
    <row r="19" spans="1:5" x14ac:dyDescent="0.25">
      <c r="A19" s="10" t="s">
        <v>20</v>
      </c>
      <c r="B19" s="8" t="str">
        <f>VLOOKUP(A19, Customer!A:E, 5, FALSE)</f>
        <v>Enterprise</v>
      </c>
      <c r="C19" s="8" t="str">
        <f>VLOOKUP(A19,Customer!$A$1:$E$51,4,FALSE)</f>
        <v>Google Ads</v>
      </c>
      <c r="D19" s="11">
        <f>VLOOKUP(A19,Subscriptions!$A$1:$E$51,3,FALSE)</f>
        <v>299</v>
      </c>
      <c r="E19" s="8" t="str">
        <f>IF(VLOOKUP(A19,Subscriptions!$A$1:$E$51,5,FALSE)="","Active","Churned")</f>
        <v>Churned</v>
      </c>
    </row>
    <row r="20" spans="1:5" x14ac:dyDescent="0.25">
      <c r="A20" s="10" t="s">
        <v>21</v>
      </c>
      <c r="B20" s="8" t="str">
        <f>VLOOKUP(A20, Customer!A:E, 5, FALSE)</f>
        <v>Mid-Market</v>
      </c>
      <c r="C20" s="8" t="str">
        <f>VLOOKUP(A20,Customer!$A$1:$E$51,4,FALSE)</f>
        <v>Organic</v>
      </c>
      <c r="D20" s="11">
        <f>VLOOKUP(A20,Subscriptions!$A$1:$E$51,3,FALSE)</f>
        <v>49</v>
      </c>
      <c r="E20" s="8" t="str">
        <f>IF(VLOOKUP(A20,Subscriptions!$A$1:$E$51,5,FALSE)="","Active","Churned")</f>
        <v>Active</v>
      </c>
    </row>
    <row r="21" spans="1:5" x14ac:dyDescent="0.25">
      <c r="A21" s="10" t="s">
        <v>22</v>
      </c>
      <c r="B21" s="8" t="str">
        <f>VLOOKUP(A21, Customer!A:E, 5, FALSE)</f>
        <v>SMB</v>
      </c>
      <c r="C21" s="8" t="str">
        <f>VLOOKUP(A21,Customer!$A$1:$E$51,4,FALSE)</f>
        <v>Google Ads</v>
      </c>
      <c r="D21" s="11">
        <f>VLOOKUP(A21,Subscriptions!$A$1:$E$51,3,FALSE)</f>
        <v>149</v>
      </c>
      <c r="E21" s="8" t="str">
        <f>IF(VLOOKUP(A21,Subscriptions!$A$1:$E$51,5,FALSE)="","Active","Churned")</f>
        <v>Active</v>
      </c>
    </row>
    <row r="22" spans="1:5" x14ac:dyDescent="0.25">
      <c r="A22" s="10" t="s">
        <v>23</v>
      </c>
      <c r="B22" s="8" t="str">
        <f>VLOOKUP(A22, Customer!A:E, 5, FALSE)</f>
        <v>Enterprise</v>
      </c>
      <c r="C22" s="8" t="str">
        <f>VLOOKUP(A22,Customer!$A$1:$E$51,4,FALSE)</f>
        <v>LinkedIn Ads</v>
      </c>
      <c r="D22" s="11">
        <f>VLOOKUP(A22,Subscriptions!$A$1:$E$51,3,FALSE)</f>
        <v>49</v>
      </c>
      <c r="E22" s="8" t="str">
        <f>IF(VLOOKUP(A22,Subscriptions!$A$1:$E$51,5,FALSE)="","Active","Churned")</f>
        <v>Active</v>
      </c>
    </row>
    <row r="23" spans="1:5" x14ac:dyDescent="0.25">
      <c r="A23" s="10" t="s">
        <v>24</v>
      </c>
      <c r="B23" s="8" t="str">
        <f>VLOOKUP(A23, Customer!A:E, 5, FALSE)</f>
        <v>Mid-Market</v>
      </c>
      <c r="C23" s="8" t="str">
        <f>VLOOKUP(A23,Customer!$A$1:$E$51,4,FALSE)</f>
        <v>Organic</v>
      </c>
      <c r="D23" s="11">
        <f>VLOOKUP(A23,Subscriptions!$A$1:$E$51,3,FALSE)</f>
        <v>149</v>
      </c>
      <c r="E23" s="8" t="str">
        <f>IF(VLOOKUP(A23,Subscriptions!$A$1:$E$51,5,FALSE)="","Active","Churned")</f>
        <v>Churned</v>
      </c>
    </row>
    <row r="24" spans="1:5" x14ac:dyDescent="0.25">
      <c r="A24" s="10" t="s">
        <v>25</v>
      </c>
      <c r="B24" s="8" t="str">
        <f>VLOOKUP(A24, Customer!A:E, 5, FALSE)</f>
        <v>SMB</v>
      </c>
      <c r="C24" s="8" t="str">
        <f>VLOOKUP(A24,Customer!$A$1:$E$51,4,FALSE)</f>
        <v>Google Ads</v>
      </c>
      <c r="D24" s="11">
        <f>VLOOKUP(A24,Subscriptions!$A$1:$E$51,3,FALSE)</f>
        <v>299</v>
      </c>
      <c r="E24" s="8" t="str">
        <f>IF(VLOOKUP(A24,Subscriptions!$A$1:$E$51,5,FALSE)="","Active","Churned")</f>
        <v>Active</v>
      </c>
    </row>
    <row r="25" spans="1:5" x14ac:dyDescent="0.25">
      <c r="A25" s="10" t="s">
        <v>26</v>
      </c>
      <c r="B25" s="8" t="str">
        <f>VLOOKUP(A25, Customer!A:E, 5, FALSE)</f>
        <v>Enterprise</v>
      </c>
      <c r="C25" s="8" t="str">
        <f>VLOOKUP(A25,Customer!$A$1:$E$51,4,FALSE)</f>
        <v>LinkedIn Ads</v>
      </c>
      <c r="D25" s="11">
        <f>VLOOKUP(A25,Subscriptions!$A$1:$E$51,3,FALSE)</f>
        <v>49</v>
      </c>
      <c r="E25" s="8" t="str">
        <f>IF(VLOOKUP(A25,Subscriptions!$A$1:$E$51,5,FALSE)="","Active","Churned")</f>
        <v>Active</v>
      </c>
    </row>
    <row r="26" spans="1:5" x14ac:dyDescent="0.25">
      <c r="A26" s="10" t="s">
        <v>27</v>
      </c>
      <c r="B26" s="8" t="str">
        <f>VLOOKUP(A26, Customer!A:E, 5, FALSE)</f>
        <v>Mid-Market</v>
      </c>
      <c r="C26" s="8" t="str">
        <f>VLOOKUP(A26,Customer!$A$1:$E$51,4,FALSE)</f>
        <v>Organic</v>
      </c>
      <c r="D26" s="11">
        <f>VLOOKUP(A26,Subscriptions!$A$1:$E$51,3,FALSE)</f>
        <v>149</v>
      </c>
      <c r="E26" s="8" t="str">
        <f>IF(VLOOKUP(A26,Subscriptions!$A$1:$E$51,5,FALSE)="","Active","Churned")</f>
        <v>Active</v>
      </c>
    </row>
    <row r="27" spans="1:5" x14ac:dyDescent="0.25">
      <c r="A27" s="10" t="s">
        <v>28</v>
      </c>
      <c r="B27" s="8" t="str">
        <f>VLOOKUP(A27, Customer!A:E, 5, FALSE)</f>
        <v>SMB</v>
      </c>
      <c r="C27" s="8" t="str">
        <f>VLOOKUP(A27,Customer!$A$1:$E$51,4,FALSE)</f>
        <v>Google Ads</v>
      </c>
      <c r="D27" s="11">
        <f>VLOOKUP(A27,Subscriptions!$A$1:$E$51,3,FALSE)</f>
        <v>49</v>
      </c>
      <c r="E27" s="8" t="str">
        <f>IF(VLOOKUP(A27,Subscriptions!$A$1:$E$51,5,FALSE)="","Active","Churned")</f>
        <v>Active</v>
      </c>
    </row>
    <row r="28" spans="1:5" x14ac:dyDescent="0.25">
      <c r="A28" s="10" t="s">
        <v>29</v>
      </c>
      <c r="B28" s="8" t="str">
        <f>VLOOKUP(A28, Customer!A:E, 5, FALSE)</f>
        <v>Mid-Market</v>
      </c>
      <c r="C28" s="8" t="str">
        <f>VLOOKUP(A28,Customer!$A$1:$E$51,4,FALSE)</f>
        <v>Google Ads</v>
      </c>
      <c r="D28" s="11">
        <f>VLOOKUP(A28,Subscriptions!$A$1:$E$51,3,FALSE)</f>
        <v>149</v>
      </c>
      <c r="E28" s="8" t="str">
        <f>IF(VLOOKUP(A28,Subscriptions!$A$1:$E$51,5,FALSE)="","Active","Churned")</f>
        <v>Churned</v>
      </c>
    </row>
    <row r="29" spans="1:5" x14ac:dyDescent="0.25">
      <c r="A29" s="10" t="s">
        <v>30</v>
      </c>
      <c r="B29" s="8" t="str">
        <f>VLOOKUP(A29, Customer!A:E, 5, FALSE)</f>
        <v>Enterprise</v>
      </c>
      <c r="C29" s="8" t="str">
        <f>VLOOKUP(A29,Customer!$A$1:$E$51,4,FALSE)</f>
        <v>LinkedIn Ads</v>
      </c>
      <c r="D29" s="11">
        <f>VLOOKUP(A29,Subscriptions!$A$1:$E$51,3,FALSE)</f>
        <v>299</v>
      </c>
      <c r="E29" s="8" t="str">
        <f>IF(VLOOKUP(A29,Subscriptions!$A$1:$E$51,5,FALSE)="","Active","Churned")</f>
        <v>Active</v>
      </c>
    </row>
    <row r="30" spans="1:5" x14ac:dyDescent="0.25">
      <c r="A30" s="10" t="s">
        <v>31</v>
      </c>
      <c r="B30" s="8" t="str">
        <f>VLOOKUP(A30, Customer!A:E, 5, FALSE)</f>
        <v>SMB</v>
      </c>
      <c r="C30" s="8" t="str">
        <f>VLOOKUP(A30,Customer!$A$1:$E$51,4,FALSE)</f>
        <v>Organic</v>
      </c>
      <c r="D30" s="11">
        <f>VLOOKUP(A30,Subscriptions!$A$1:$E$51,3,FALSE)</f>
        <v>49</v>
      </c>
      <c r="E30" s="8" t="str">
        <f>IF(VLOOKUP(A30,Subscriptions!$A$1:$E$51,5,FALSE)="","Active","Churned")</f>
        <v>Active</v>
      </c>
    </row>
    <row r="31" spans="1:5" x14ac:dyDescent="0.25">
      <c r="A31" s="10" t="s">
        <v>32</v>
      </c>
      <c r="B31" s="8" t="str">
        <f>VLOOKUP(A31, Customer!A:E, 5, FALSE)</f>
        <v>Mid-Market</v>
      </c>
      <c r="C31" s="8" t="str">
        <f>VLOOKUP(A31,Customer!$A$1:$E$51,4,FALSE)</f>
        <v>Google Ads</v>
      </c>
      <c r="D31" s="11">
        <f>VLOOKUP(A31,Subscriptions!$A$1:$E$51,3,FALSE)</f>
        <v>149</v>
      </c>
      <c r="E31" s="8" t="str">
        <f>IF(VLOOKUP(A31,Subscriptions!$A$1:$E$51,5,FALSE)="","Active","Churned")</f>
        <v>Active</v>
      </c>
    </row>
    <row r="32" spans="1:5" x14ac:dyDescent="0.25">
      <c r="A32" s="10" t="s">
        <v>33</v>
      </c>
      <c r="B32" s="8" t="str">
        <f>VLOOKUP(A32, Customer!A:E, 5, FALSE)</f>
        <v>Enterprise</v>
      </c>
      <c r="C32" s="8" t="str">
        <f>VLOOKUP(A32,Customer!$A$1:$E$51,4,FALSE)</f>
        <v>LinkedIn Ads</v>
      </c>
      <c r="D32" s="11">
        <f>VLOOKUP(A32,Subscriptions!$A$1:$E$51,3,FALSE)</f>
        <v>49</v>
      </c>
      <c r="E32" s="8" t="str">
        <f>IF(VLOOKUP(A32,Subscriptions!$A$1:$E$51,5,FALSE)="","Active","Churned")</f>
        <v>Active</v>
      </c>
    </row>
    <row r="33" spans="1:5" x14ac:dyDescent="0.25">
      <c r="A33" s="10" t="s">
        <v>34</v>
      </c>
      <c r="B33" s="8" t="str">
        <f>VLOOKUP(A33, Customer!A:E, 5, FALSE)</f>
        <v>SMB</v>
      </c>
      <c r="C33" s="8" t="str">
        <f>VLOOKUP(A33,Customer!$A$1:$E$51,4,FALSE)</f>
        <v>Organic</v>
      </c>
      <c r="D33" s="11">
        <f>VLOOKUP(A33,Subscriptions!$A$1:$E$51,3,FALSE)</f>
        <v>149</v>
      </c>
      <c r="E33" s="8" t="str">
        <f>IF(VLOOKUP(A33,Subscriptions!$A$1:$E$51,5,FALSE)="","Active","Churned")</f>
        <v>Active</v>
      </c>
    </row>
    <row r="34" spans="1:5" x14ac:dyDescent="0.25">
      <c r="A34" s="10" t="s">
        <v>35</v>
      </c>
      <c r="B34" s="8" t="str">
        <f>VLOOKUP(A34, Customer!A:E, 5, FALSE)</f>
        <v>Mid-Market</v>
      </c>
      <c r="C34" s="8" t="str">
        <f>VLOOKUP(A34,Customer!$A$1:$E$51,4,FALSE)</f>
        <v>Google Ads</v>
      </c>
      <c r="D34" s="11">
        <f>VLOOKUP(A34,Subscriptions!$A$1:$E$51,3,FALSE)</f>
        <v>299</v>
      </c>
      <c r="E34" s="8" t="str">
        <f>IF(VLOOKUP(A34,Subscriptions!$A$1:$E$51,5,FALSE)="","Active","Churned")</f>
        <v>Active</v>
      </c>
    </row>
    <row r="35" spans="1:5" x14ac:dyDescent="0.25">
      <c r="A35" s="10" t="s">
        <v>36</v>
      </c>
      <c r="B35" s="8" t="str">
        <f>VLOOKUP(A35, Customer!A:E, 5, FALSE)</f>
        <v>Enterprise</v>
      </c>
      <c r="C35" s="8" t="str">
        <f>VLOOKUP(A35,Customer!$A$1:$E$51,4,FALSE)</f>
        <v>LinkedIn Ads</v>
      </c>
      <c r="D35" s="11">
        <f>VLOOKUP(A35,Subscriptions!$A$1:$E$51,3,FALSE)</f>
        <v>49</v>
      </c>
      <c r="E35" s="8" t="str">
        <f>IF(VLOOKUP(A35,Subscriptions!$A$1:$E$51,5,FALSE)="","Active","Churned")</f>
        <v>Churned</v>
      </c>
    </row>
    <row r="36" spans="1:5" x14ac:dyDescent="0.25">
      <c r="A36" s="10" t="s">
        <v>37</v>
      </c>
      <c r="B36" s="8" t="str">
        <f>VLOOKUP(A36, Customer!A:E, 5, FALSE)</f>
        <v>SMB</v>
      </c>
      <c r="C36" s="8" t="str">
        <f>VLOOKUP(A36,Customer!$A$1:$E$51,4,FALSE)</f>
        <v>Organic</v>
      </c>
      <c r="D36" s="11">
        <f>VLOOKUP(A36,Subscriptions!$A$1:$E$51,3,FALSE)</f>
        <v>149</v>
      </c>
      <c r="E36" s="8" t="str">
        <f>IF(VLOOKUP(A36,Subscriptions!$A$1:$E$51,5,FALSE)="","Active","Churned")</f>
        <v>Active</v>
      </c>
    </row>
    <row r="37" spans="1:5" x14ac:dyDescent="0.25">
      <c r="A37" s="10" t="s">
        <v>38</v>
      </c>
      <c r="B37" s="8" t="str">
        <f>VLOOKUP(A37, Customer!A:E, 5, FALSE)</f>
        <v>Mid-Market</v>
      </c>
      <c r="C37" s="8" t="str">
        <f>VLOOKUP(A37,Customer!$A$1:$E$51,4,FALSE)</f>
        <v>Google Ads</v>
      </c>
      <c r="D37" s="11">
        <f>VLOOKUP(A37,Subscriptions!$A$1:$E$51,3,FALSE)</f>
        <v>49</v>
      </c>
      <c r="E37" s="8" t="str">
        <f>IF(VLOOKUP(A37,Subscriptions!$A$1:$E$51,5,FALSE)="","Active","Churned")</f>
        <v>Active</v>
      </c>
    </row>
    <row r="38" spans="1:5" x14ac:dyDescent="0.25">
      <c r="A38" s="10" t="s">
        <v>39</v>
      </c>
      <c r="B38" s="8" t="str">
        <f>VLOOKUP(A38, Customer!A:E, 5, FALSE)</f>
        <v>Enterprise</v>
      </c>
      <c r="C38" s="8" t="str">
        <f>VLOOKUP(A38,Customer!$A$1:$E$51,4,FALSE)</f>
        <v>LinkedIn Ads</v>
      </c>
      <c r="D38" s="11">
        <f>VLOOKUP(A38,Subscriptions!$A$1:$E$51,3,FALSE)</f>
        <v>149</v>
      </c>
      <c r="E38" s="8" t="str">
        <f>IF(VLOOKUP(A38,Subscriptions!$A$1:$E$51,5,FALSE)="","Active","Churned")</f>
        <v>Churned</v>
      </c>
    </row>
    <row r="39" spans="1:5" x14ac:dyDescent="0.25">
      <c r="A39" s="10" t="s">
        <v>40</v>
      </c>
      <c r="B39" s="8" t="str">
        <f>VLOOKUP(A39, Customer!A:E, 5, FALSE)</f>
        <v>SMB</v>
      </c>
      <c r="C39" s="8" t="str">
        <f>VLOOKUP(A39,Customer!$A$1:$E$51,4,FALSE)</f>
        <v>Organic</v>
      </c>
      <c r="D39" s="11">
        <f>VLOOKUP(A39,Subscriptions!$A$1:$E$51,3,FALSE)</f>
        <v>299</v>
      </c>
      <c r="E39" s="8" t="str">
        <f>IF(VLOOKUP(A39,Subscriptions!$A$1:$E$51,5,FALSE)="","Active","Churned")</f>
        <v>Active</v>
      </c>
    </row>
    <row r="40" spans="1:5" x14ac:dyDescent="0.25">
      <c r="A40" s="10" t="s">
        <v>41</v>
      </c>
      <c r="B40" s="8" t="str">
        <f>VLOOKUP(A40, Customer!A:E, 5, FALSE)</f>
        <v>Mid-Market</v>
      </c>
      <c r="C40" s="8" t="str">
        <f>VLOOKUP(A40,Customer!$A$1:$E$51,4,FALSE)</f>
        <v>Google Ads</v>
      </c>
      <c r="D40" s="11">
        <f>VLOOKUP(A40,Subscriptions!$A$1:$E$51,3,FALSE)</f>
        <v>49</v>
      </c>
      <c r="E40" s="8" t="str">
        <f>IF(VLOOKUP(A40,Subscriptions!$A$1:$E$51,5,FALSE)="","Active","Churned")</f>
        <v>Active</v>
      </c>
    </row>
    <row r="41" spans="1:5" x14ac:dyDescent="0.25">
      <c r="A41" s="10" t="s">
        <v>42</v>
      </c>
      <c r="B41" s="8" t="str">
        <f>VLOOKUP(A41, Customer!A:E, 5, FALSE)</f>
        <v>Enterprise</v>
      </c>
      <c r="C41" s="8" t="str">
        <f>VLOOKUP(A41,Customer!$A$1:$E$51,4,FALSE)</f>
        <v>LinkedIn Ads</v>
      </c>
      <c r="D41" s="11">
        <f>VLOOKUP(A41,Subscriptions!$A$1:$E$51,3,FALSE)</f>
        <v>149</v>
      </c>
      <c r="E41" s="8" t="str">
        <f>IF(VLOOKUP(A41,Subscriptions!$A$1:$E$51,5,FALSE)="","Active","Churned")</f>
        <v>Active</v>
      </c>
    </row>
    <row r="42" spans="1:5" x14ac:dyDescent="0.25">
      <c r="A42" s="10" t="s">
        <v>43</v>
      </c>
      <c r="B42" s="8" t="str">
        <f>VLOOKUP(A42, Customer!A:E, 5, FALSE)</f>
        <v>SMB</v>
      </c>
      <c r="C42" s="8" t="str">
        <f>VLOOKUP(A42,Customer!$A$1:$E$51,4,FALSE)</f>
        <v>Organic</v>
      </c>
      <c r="D42" s="11">
        <f>VLOOKUP(A42,Subscriptions!$A$1:$E$51,3,FALSE)</f>
        <v>49</v>
      </c>
      <c r="E42" s="8" t="str">
        <f>IF(VLOOKUP(A42,Subscriptions!$A$1:$E$51,5,FALSE)="","Active","Churned")</f>
        <v>Active</v>
      </c>
    </row>
    <row r="43" spans="1:5" x14ac:dyDescent="0.25">
      <c r="A43" s="10" t="s">
        <v>44</v>
      </c>
      <c r="B43" s="8" t="str">
        <f>VLOOKUP(A43, Customer!A:E, 5, FALSE)</f>
        <v>Mid-Market</v>
      </c>
      <c r="C43" s="8" t="str">
        <f>VLOOKUP(A43,Customer!$A$1:$E$51,4,FALSE)</f>
        <v>Google Ads</v>
      </c>
      <c r="D43" s="11">
        <f>VLOOKUP(A43,Subscriptions!$A$1:$E$51,3,FALSE)</f>
        <v>149</v>
      </c>
      <c r="E43" s="8" t="str">
        <f>IF(VLOOKUP(A43,Subscriptions!$A$1:$E$51,5,FALSE)="","Active","Churned")</f>
        <v>Active</v>
      </c>
    </row>
    <row r="44" spans="1:5" x14ac:dyDescent="0.25">
      <c r="A44" s="10" t="s">
        <v>45</v>
      </c>
      <c r="B44" s="8" t="str">
        <f>VLOOKUP(A44, Customer!A:E, 5, FALSE)</f>
        <v>Enterprise</v>
      </c>
      <c r="C44" s="8" t="str">
        <f>VLOOKUP(A44,Customer!$A$1:$E$51,4,FALSE)</f>
        <v>LinkedIn Ads</v>
      </c>
      <c r="D44" s="11">
        <f>VLOOKUP(A44,Subscriptions!$A$1:$E$51,3,FALSE)</f>
        <v>299</v>
      </c>
      <c r="E44" s="8" t="str">
        <f>IF(VLOOKUP(A44,Subscriptions!$A$1:$E$51,5,FALSE)="","Active","Churned")</f>
        <v>Active</v>
      </c>
    </row>
    <row r="45" spans="1:5" x14ac:dyDescent="0.25">
      <c r="A45" s="10" t="s">
        <v>46</v>
      </c>
      <c r="B45" s="8" t="str">
        <f>VLOOKUP(A45, Customer!A:E, 5, FALSE)</f>
        <v>SMB</v>
      </c>
      <c r="C45" s="8" t="str">
        <f>VLOOKUP(A45,Customer!$A$1:$E$51,4,FALSE)</f>
        <v>Organic</v>
      </c>
      <c r="D45" s="11">
        <f>VLOOKUP(A45,Subscriptions!$A$1:$E$51,3,FALSE)</f>
        <v>49</v>
      </c>
      <c r="E45" s="8" t="str">
        <f>IF(VLOOKUP(A45,Subscriptions!$A$1:$E$51,5,FALSE)="","Active","Churned")</f>
        <v>Churned</v>
      </c>
    </row>
    <row r="46" spans="1:5" x14ac:dyDescent="0.25">
      <c r="A46" s="10" t="s">
        <v>47</v>
      </c>
      <c r="B46" s="8" t="str">
        <f>VLOOKUP(A46, Customer!A:E, 5, FALSE)</f>
        <v>Mid-Market</v>
      </c>
      <c r="C46" s="8" t="str">
        <f>VLOOKUP(A46,Customer!$A$1:$E$51,4,FALSE)</f>
        <v>Google Ads</v>
      </c>
      <c r="D46" s="11">
        <f>VLOOKUP(A46,Subscriptions!$A$1:$E$51,3,FALSE)</f>
        <v>149</v>
      </c>
      <c r="E46" s="8" t="str">
        <f>IF(VLOOKUP(A46,Subscriptions!$A$1:$E$51,5,FALSE)="","Active","Churned")</f>
        <v>Active</v>
      </c>
    </row>
    <row r="47" spans="1:5" x14ac:dyDescent="0.25">
      <c r="A47" s="10" t="s">
        <v>48</v>
      </c>
      <c r="B47" s="8" t="str">
        <f>VLOOKUP(A47, Customer!A:E, 5, FALSE)</f>
        <v>Enterprise</v>
      </c>
      <c r="C47" s="8" t="str">
        <f>VLOOKUP(A47,Customer!$A$1:$E$51,4,FALSE)</f>
        <v>LinkedIn Ads</v>
      </c>
      <c r="D47" s="11">
        <f>VLOOKUP(A47,Subscriptions!$A$1:$E$51,3,FALSE)</f>
        <v>49</v>
      </c>
      <c r="E47" s="8" t="str">
        <f>IF(VLOOKUP(A47,Subscriptions!$A$1:$E$51,5,FALSE)="","Active","Churned")</f>
        <v>Active</v>
      </c>
    </row>
    <row r="48" spans="1:5" x14ac:dyDescent="0.25">
      <c r="A48" s="10" t="s">
        <v>49</v>
      </c>
      <c r="B48" s="8" t="str">
        <f>VLOOKUP(A48, Customer!A:E, 5, FALSE)</f>
        <v>SMB</v>
      </c>
      <c r="C48" s="8" t="str">
        <f>VLOOKUP(A48,Customer!$A$1:$E$51,4,FALSE)</f>
        <v>Google Ads</v>
      </c>
      <c r="D48" s="11">
        <f>VLOOKUP(A48,Subscriptions!$A$1:$E$51,3,FALSE)</f>
        <v>149</v>
      </c>
      <c r="E48" s="8" t="str">
        <f>IF(VLOOKUP(A48,Subscriptions!$A$1:$E$51,5,FALSE)="","Active","Churned")</f>
        <v>Active</v>
      </c>
    </row>
    <row r="49" spans="1:5" x14ac:dyDescent="0.25">
      <c r="A49" s="10" t="s">
        <v>50</v>
      </c>
      <c r="B49" s="8" t="str">
        <f>VLOOKUP(A49, Customer!A:E, 5, FALSE)</f>
        <v>Mid-Market</v>
      </c>
      <c r="C49" s="8" t="str">
        <f>VLOOKUP(A49,Customer!$A$1:$E$51,4,FALSE)</f>
        <v>Organic</v>
      </c>
      <c r="D49" s="11">
        <f>VLOOKUP(A49,Subscriptions!$A$1:$E$51,3,FALSE)</f>
        <v>299</v>
      </c>
      <c r="E49" s="8" t="str">
        <f>IF(VLOOKUP(A49,Subscriptions!$A$1:$E$51,5,FALSE)="","Active","Churned")</f>
        <v>Active</v>
      </c>
    </row>
    <row r="50" spans="1:5" x14ac:dyDescent="0.25">
      <c r="A50" s="10" t="s">
        <v>51</v>
      </c>
      <c r="B50" s="8" t="str">
        <f>VLOOKUP(A50, Customer!A:E, 5, FALSE)</f>
        <v>Enterprise</v>
      </c>
      <c r="C50" s="8" t="str">
        <f>VLOOKUP(A50,Customer!$A$1:$E$51,4,FALSE)</f>
        <v>LinkedIn Ads</v>
      </c>
      <c r="D50" s="11">
        <f>VLOOKUP(A50,Subscriptions!$A$1:$E$51,3,FALSE)</f>
        <v>49</v>
      </c>
      <c r="E50" s="8" t="str">
        <f>IF(VLOOKUP(A50,Subscriptions!$A$1:$E$51,5,FALSE)="","Active","Churned")</f>
        <v>Active</v>
      </c>
    </row>
    <row r="51" spans="1:5" x14ac:dyDescent="0.25">
      <c r="A51" s="10" t="s">
        <v>52</v>
      </c>
      <c r="B51" s="8" t="str">
        <f>VLOOKUP(A51, Customer!A:E, 5, FALSE)</f>
        <v>SMB</v>
      </c>
      <c r="C51" s="8" t="str">
        <f>VLOOKUP(A51,Customer!$A$1:$E$51,4,FALSE)</f>
        <v>Google Ads</v>
      </c>
      <c r="D51" s="11">
        <f>VLOOKUP(A51,Subscriptions!$A$1:$E$51,3,FALSE)</f>
        <v>149</v>
      </c>
      <c r="E51" s="8" t="str">
        <f>IF(VLOOKUP(A51,Subscriptions!$A$1:$E$51,5,FALSE)="","Active","Churned")</f>
        <v>Active</v>
      </c>
    </row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B7" sqref="B7"/>
    </sheetView>
  </sheetViews>
  <sheetFormatPr defaultRowHeight="15" x14ac:dyDescent="0.25"/>
  <cols>
    <col min="1" max="1" width="13.140625" bestFit="1" customWidth="1"/>
    <col min="2" max="2" width="20.85546875" bestFit="1" customWidth="1"/>
  </cols>
  <sheetData>
    <row r="3" spans="1:2" x14ac:dyDescent="0.25">
      <c r="A3" s="15" t="s">
        <v>73</v>
      </c>
      <c r="B3" t="s">
        <v>75</v>
      </c>
    </row>
    <row r="4" spans="1:2" x14ac:dyDescent="0.25">
      <c r="A4" s="16" t="s">
        <v>60</v>
      </c>
      <c r="B4" s="17">
        <v>1785</v>
      </c>
    </row>
    <row r="5" spans="1:2" x14ac:dyDescent="0.25">
      <c r="A5" s="16" t="s">
        <v>59</v>
      </c>
      <c r="B5" s="17">
        <v>2532</v>
      </c>
    </row>
    <row r="6" spans="1:2" x14ac:dyDescent="0.25">
      <c r="A6" s="16" t="s">
        <v>96</v>
      </c>
      <c r="B6" s="17">
        <v>2633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zoomScaleNormal="100" workbookViewId="0">
      <selection activeCell="D17" sqref="D17"/>
    </sheetView>
  </sheetViews>
  <sheetFormatPr defaultRowHeight="15" x14ac:dyDescent="0.25"/>
  <cols>
    <col min="1" max="1" width="13.140625" bestFit="1" customWidth="1"/>
    <col min="2" max="2" width="20.85546875" bestFit="1" customWidth="1"/>
  </cols>
  <sheetData>
    <row r="3" spans="1:2" x14ac:dyDescent="0.25">
      <c r="A3" s="15" t="s">
        <v>73</v>
      </c>
      <c r="B3" t="s">
        <v>75</v>
      </c>
    </row>
    <row r="4" spans="1:2" x14ac:dyDescent="0.25">
      <c r="A4" s="16" t="s">
        <v>56</v>
      </c>
      <c r="B4" s="17">
        <v>3380</v>
      </c>
    </row>
    <row r="5" spans="1:2" x14ac:dyDescent="0.25">
      <c r="A5" s="16" t="s">
        <v>58</v>
      </c>
      <c r="B5" s="17">
        <v>1635</v>
      </c>
    </row>
    <row r="6" spans="1:2" x14ac:dyDescent="0.25">
      <c r="A6" s="16" t="s">
        <v>57</v>
      </c>
      <c r="B6" s="17">
        <v>1935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Dashboard</vt:lpstr>
      <vt:lpstr>Subscriptions</vt:lpstr>
      <vt:lpstr>Insights</vt:lpstr>
      <vt:lpstr>Customer</vt:lpstr>
      <vt:lpstr>Customer Status</vt:lpstr>
      <vt:lpstr>analysis</vt:lpstr>
      <vt:lpstr>Revenue by Segment</vt:lpstr>
      <vt:lpstr>Revenue by Channel</vt:lpstr>
      <vt:lpstr>Dashboard!Print_Area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iqmal</dc:creator>
  <cp:lastModifiedBy>iqmal</cp:lastModifiedBy>
  <cp:lastPrinted>2026-06-26T10:25:38Z</cp:lastPrinted>
  <dcterms:created xsi:type="dcterms:W3CDTF">2026-02-17T02:50:24Z</dcterms:created>
  <dcterms:modified xsi:type="dcterms:W3CDTF">2026-06-26T10:27:49Z</dcterms:modified>
</cp:coreProperties>
</file>