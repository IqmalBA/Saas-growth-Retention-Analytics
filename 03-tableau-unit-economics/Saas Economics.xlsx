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qmal\Documents\"/>
    </mc:Choice>
  </mc:AlternateContent>
  <bookViews>
    <workbookView xWindow="0" yWindow="0" windowWidth="15345" windowHeight="4635" firstSheet="5" activeTab="8"/>
  </bookViews>
  <sheets>
    <sheet name="Customers" sheetId="1" r:id="rId1"/>
    <sheet name="Revenue by Segment" sheetId="8" r:id="rId2"/>
    <sheet name="Active VS Churned" sheetId="9" r:id="rId3"/>
    <sheet name="Subscriptions" sheetId="2" r:id="rId4"/>
    <sheet name="CAC by Channel" sheetId="6" r:id="rId5"/>
    <sheet name="Signups by Channel" sheetId="7" r:id="rId6"/>
    <sheet name="Marketing_Spend" sheetId="3" r:id="rId7"/>
    <sheet name="Revenue Summary" sheetId="4" r:id="rId8"/>
    <sheet name="KPI_Calculations" sheetId="5" r:id="rId9"/>
  </sheets>
  <calcPr calcId="152511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5" l="1"/>
  <c r="E25" i="2" l="1"/>
  <c r="E146" i="2"/>
  <c r="B8" i="5"/>
  <c r="B6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2" i="3"/>
  <c r="B7" i="5"/>
  <c r="B5" i="5"/>
  <c r="B9" i="5" s="1"/>
  <c r="B10" i="5" s="1"/>
  <c r="B4" i="5"/>
  <c r="B3" i="5"/>
  <c r="B2" i="5"/>
  <c r="E151" i="2" l="1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7" i="2"/>
  <c r="E148" i="2"/>
  <c r="E149" i="2"/>
  <c r="E150" i="2"/>
  <c r="E2" i="2"/>
</calcChain>
</file>

<file path=xl/sharedStrings.xml><?xml version="1.0" encoding="utf-8"?>
<sst xmlns="http://schemas.openxmlformats.org/spreadsheetml/2006/main" count="1167" uniqueCount="207">
  <si>
    <t>customer_id</t>
  </si>
  <si>
    <t>segment</t>
  </si>
  <si>
    <t>country</t>
  </si>
  <si>
    <t>acquisition_channel</t>
  </si>
  <si>
    <t>signup_date</t>
  </si>
  <si>
    <t>C001</t>
  </si>
  <si>
    <t>Startup</t>
  </si>
  <si>
    <t>Indonesia</t>
  </si>
  <si>
    <t>C002</t>
  </si>
  <si>
    <t>C003</t>
  </si>
  <si>
    <t>SMB</t>
  </si>
  <si>
    <t>Singapore</t>
  </si>
  <si>
    <t>C004</t>
  </si>
  <si>
    <t>Enterprise</t>
  </si>
  <si>
    <t>C005</t>
  </si>
  <si>
    <t>Malaysia</t>
  </si>
  <si>
    <t>C006</t>
  </si>
  <si>
    <t>Thailand</t>
  </si>
  <si>
    <t>C007</t>
  </si>
  <si>
    <t>C008</t>
  </si>
  <si>
    <t>C009</t>
  </si>
  <si>
    <t>C010</t>
  </si>
  <si>
    <t>India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</si>
  <si>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</si>
  <si>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</si>
  <si>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</si>
  <si>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</si>
  <si>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</si>
  <si>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</si>
  <si>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</si>
  <si>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</si>
  <si>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</si>
  <si>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</si>
  <si>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</si>
  <si>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</si>
  <si>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</si>
  <si>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</si>
  <si>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</si>
  <si>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</si>
  <si>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</si>
  <si>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</si>
  <si>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</si>
  <si>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</si>
  <si>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</si>
  <si>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</si>
  <si>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</si>
  <si>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</si>
  <si>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</si>
  <si>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</si>
  <si>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</si>
  <si>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</si>
  <si>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</si>
  <si>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</si>
  <si>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</si>
  <si>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</si>
  <si>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</si>
  <si>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</si>
  <si>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</si>
  <si>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</si>
  <si>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</si>
  <si>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</si>
  <si>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</si>
  <si>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</si>
  <si>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</si>
  <si>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</si>
  <si>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</si>
  <si>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</si>
  <si>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</si>
  <si>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</si>
  <si>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</si>
  <si>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</si>
  <si>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</si>
  <si>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</si>
  <si>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</si>
  <si>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</si>
  <si>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</si>
  <si>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</si>
  <si>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</si>
  <si>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</si>
  <si>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</si>
  <si>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</si>
  <si>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</si>
  <si>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</si>
  <si>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</si>
  <si>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</si>
  <si>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</si>
  <si>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</si>
  <si>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</si>
  <si>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</si>
  <si>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</si>
  <si>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</si>
  <si>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</si>
  <si>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</si>
  <si>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</si>
  <si>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</si>
  <si>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</si>
  <si>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</si>
  <si>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</si>
  <si>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</si>
  <si>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</si>
  <si>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</si>
  <si>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</si>
  <si>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</si>
  <si>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</si>
  <si>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</si>
  <si>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</si>
  <si>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</si>
  <si>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</si>
  <si>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</si>
  <si>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</si>
  <si>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</si>
  <si>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</si>
  <si>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</si>
  <si>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</si>
  <si>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</si>
  <si>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</si>
  <si>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</si>
  <si>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</si>
  <si>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</si>
  <si>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</si>
  <si>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</si>
  <si>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</si>
  <si>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</si>
  <si>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</si>
  <si>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</si>
  <si>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</si>
  <si>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</si>
  <si>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</si>
  <si>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</si>
  <si>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</si>
  <si>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</si>
  <si>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</si>
  <si>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</si>
  <si>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</si>
  <si>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</si>
  <si>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</si>
  <si>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</si>
  <si>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</si>
  <si>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</si>
  <si>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</si>
  <si>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</si>
  <si>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</si>
  <si>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</si>
  <si>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</si>
  <si>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</si>
  <si>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</si>
  <si>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</si>
  <si>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</si>
  <si>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</si>
  <si>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</si>
  <si>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</si>
  <si>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</si>
  <si>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</si>
  <si>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</si>
  <si>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</si>
  <si>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</si>
  <si>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</si>
  <si>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</si>
  <si>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</si>
  <si>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</si>
  <si>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</si>
  <si>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</si>
  <si>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</si>
  <si>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Vietnam</t>
  </si>
  <si>
    <t>United States</t>
  </si>
  <si>
    <t>Philippines</t>
  </si>
  <si>
    <t xml:space="preserve"> Australia</t>
  </si>
  <si>
    <t>United Kingdom</t>
  </si>
  <si>
    <t>Google Ads</t>
  </si>
  <si>
    <t>Facebook Ads</t>
  </si>
  <si>
    <t>LinkedIn Ads</t>
  </si>
  <si>
    <t>Referral</t>
  </si>
  <si>
    <t>Organic</t>
  </si>
  <si>
    <t>plan</t>
  </si>
  <si>
    <t>mrr</t>
  </si>
  <si>
    <t>status</t>
  </si>
  <si>
    <t>start_date</t>
  </si>
  <si>
    <t>end_date</t>
  </si>
  <si>
    <t>Basic</t>
  </si>
  <si>
    <t>Pro</t>
  </si>
  <si>
    <t>Churned</t>
  </si>
  <si>
    <t>Active</t>
  </si>
  <si>
    <t>month</t>
  </si>
  <si>
    <t>Month</t>
  </si>
  <si>
    <t>Revenue</t>
  </si>
  <si>
    <t>channel</t>
  </si>
  <si>
    <t>spend</t>
  </si>
  <si>
    <t>signups</t>
  </si>
  <si>
    <t>KPI</t>
  </si>
  <si>
    <t>Value</t>
  </si>
  <si>
    <t>Total Customers</t>
  </si>
  <si>
    <t>Active Customers</t>
  </si>
  <si>
    <t>Churned Customers</t>
  </si>
  <si>
    <t>Churn Rate</t>
  </si>
  <si>
    <t>Average CAC</t>
  </si>
  <si>
    <t>Total MRR</t>
  </si>
  <si>
    <t>Average Lifetime</t>
  </si>
  <si>
    <t>LTV/CAC Ratio</t>
  </si>
  <si>
    <t>CAC</t>
  </si>
  <si>
    <t>ARPU (Average Revenue Per User)</t>
  </si>
  <si>
    <t>LTV (Lifetime Value)</t>
  </si>
  <si>
    <t>Row Labels</t>
  </si>
  <si>
    <t>Grand Total</t>
  </si>
  <si>
    <t>Average of CAC</t>
  </si>
  <si>
    <t>Sum of signups</t>
  </si>
  <si>
    <t>Sum of mrr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</si>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</sst>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 yyyy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6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9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1" fontId="0" fillId="0" borderId="2" xfId="0" applyNumberFormat="1" applyBorder="1"/>
    <xf numFmtId="164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1" fontId="0" fillId="0" borderId="3" xfId="0" applyNumberFormat="1" applyBorder="1"/>
    <xf numFmtId="16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1" fontId="0" fillId="0" borderId="4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qmal" refreshedDate="46189.603897222223" createdVersion="5" refreshedVersion="5" minRefreshableVersion="3" recordCount="60">
  <cacheSource type="worksheet">
    <worksheetSource ref="A1:E61" sheet="Marketing_Spend"/>
  </cacheSource>
  <cacheFields count="5">
    <cacheField name="month" numFmtId="164">
      <sharedItems containsSemiMixedTypes="0" containsNonDate="0" containsDate="1" containsString="0" minDate="2025-01-01T00:00:00" maxDate="2025-12-02T00:00:00"/>
    </cacheField>
    <cacheField name="channel" numFmtId="0">
      <sharedItems count="5">
        <s v="Google Ads"/>
        <s v="Facebook Ads"/>
        <s v="LinkedIn Ads"/>
        <s v="Referral"/>
        <s v="Organic"/>
      </sharedItems>
    </cacheField>
    <cacheField name="spend" numFmtId="0">
      <sharedItems containsSemiMixedTypes="0" containsString="0" containsNumber="1" containsInteger="1" minValue="500" maxValue="7200"/>
    </cacheField>
    <cacheField name="signups" numFmtId="0">
      <sharedItems containsSemiMixedTypes="0" containsString="0" containsNumber="1" containsInteger="1" minValue="45" maxValue="145"/>
    </cacheField>
    <cacheField name="CAC" numFmtId="1">
      <sharedItems containsSemiMixedTypes="0" containsString="0" containsNumber="1" minValue="8.9655172413793096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qmal" refreshedDate="46189.641089930556" createdVersion="5" refreshedVersion="5" minRefreshableVersion="3" recordCount="150">
  <cacheSource type="worksheet">
    <worksheetSource ref="A1:F151" sheet="Subscriptions"/>
  </cacheSource>
  <cacheFields count="6">
    <cacheField name="customer_id" numFmtId="0">
      <sharedItems/>
    </cacheField>
    <cacheField name="plan" numFmtId="0">
      <sharedItems count="3">
        <s v="Basic"/>
        <s v="Pro"/>
        <s v="Enterprise"/>
      </sharedItems>
    </cacheField>
    <cacheField name="mrr" numFmtId="0">
      <sharedItems containsSemiMixedTypes="0" containsString="0" containsNumber="1" containsInteger="1" minValue="49" maxValue="499"/>
    </cacheField>
    <cacheField name="status" numFmtId="0">
      <sharedItems count="2">
        <s v="Active"/>
        <s v="Churned"/>
      </sharedItems>
    </cacheField>
    <cacheField name="start_date" numFmtId="14">
      <sharedItems containsSemiMixedTypes="0" containsNonDate="0" containsDate="1" containsString="0" minDate="2025-01-03T00:00:00" maxDate="2025-12-28T00:00:00"/>
    </cacheField>
    <cacheField name="end_date" numFmtId="0">
      <sharedItems containsNonDate="0" containsDate="1" containsString="0" containsBlank="1" minDate="2025-04-12T00:00:00" maxDate="2025-12-2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d v="2025-01-01T00:00:00"/>
    <x v="0"/>
    <n v="5000"/>
    <n v="100"/>
    <n v="50"/>
  </r>
  <r>
    <d v="2025-01-01T00:00:00"/>
    <x v="1"/>
    <n v="3500"/>
    <n v="80"/>
    <n v="43.75"/>
  </r>
  <r>
    <d v="2025-01-01T00:00:00"/>
    <x v="2"/>
    <n v="4500"/>
    <n v="45"/>
    <n v="100"/>
  </r>
  <r>
    <d v="2025-01-01T00:00:00"/>
    <x v="3"/>
    <n v="1200"/>
    <n v="60"/>
    <n v="20"/>
  </r>
  <r>
    <d v="2025-01-01T00:00:00"/>
    <x v="4"/>
    <n v="500"/>
    <n v="55"/>
    <n v="9.0909090909090917"/>
  </r>
  <r>
    <d v="2025-02-01T00:00:00"/>
    <x v="0"/>
    <n v="5200"/>
    <n v="105"/>
    <n v="49.523809523809526"/>
  </r>
  <r>
    <d v="2025-02-01T00:00:00"/>
    <x v="1"/>
    <n v="3600"/>
    <n v="82"/>
    <n v="43.902439024390247"/>
  </r>
  <r>
    <d v="2025-02-01T00:00:00"/>
    <x v="2"/>
    <n v="4600"/>
    <n v="47"/>
    <n v="97.872340425531917"/>
  </r>
  <r>
    <d v="2025-02-01T00:00:00"/>
    <x v="3"/>
    <n v="1250"/>
    <n v="62"/>
    <n v="20.161290322580644"/>
  </r>
  <r>
    <d v="2025-02-01T00:00:00"/>
    <x v="4"/>
    <n v="520"/>
    <n v="58"/>
    <n v="8.9655172413793096"/>
  </r>
  <r>
    <d v="2025-03-01T00:00:00"/>
    <x v="0"/>
    <n v="5400"/>
    <n v="108"/>
    <n v="50"/>
  </r>
  <r>
    <d v="2025-03-01T00:00:00"/>
    <x v="1"/>
    <n v="3700"/>
    <n v="85"/>
    <n v="43.529411764705884"/>
  </r>
  <r>
    <d v="2025-03-01T00:00:00"/>
    <x v="2"/>
    <n v="4700"/>
    <n v="48"/>
    <n v="97.916666666666671"/>
  </r>
  <r>
    <d v="2025-03-01T00:00:00"/>
    <x v="3"/>
    <n v="1300"/>
    <n v="65"/>
    <n v="20"/>
  </r>
  <r>
    <d v="2025-03-01T00:00:00"/>
    <x v="4"/>
    <n v="550"/>
    <n v="60"/>
    <n v="9.1666666666666661"/>
  </r>
  <r>
    <d v="2025-04-01T00:00:00"/>
    <x v="0"/>
    <n v="5600"/>
    <n v="112"/>
    <n v="50"/>
  </r>
  <r>
    <d v="2025-04-01T00:00:00"/>
    <x v="1"/>
    <n v="3800"/>
    <n v="87"/>
    <n v="43.678160919540232"/>
  </r>
  <r>
    <d v="2025-04-01T00:00:00"/>
    <x v="2"/>
    <n v="4800"/>
    <n v="50"/>
    <n v="96"/>
  </r>
  <r>
    <d v="2025-04-01T00:00:00"/>
    <x v="3"/>
    <n v="1350"/>
    <n v="68"/>
    <n v="19.852941176470587"/>
  </r>
  <r>
    <d v="2025-04-01T00:00:00"/>
    <x v="4"/>
    <n v="570"/>
    <n v="62"/>
    <n v="9.193548387096774"/>
  </r>
  <r>
    <d v="2025-05-01T00:00:00"/>
    <x v="0"/>
    <n v="5800"/>
    <n v="116"/>
    <n v="50"/>
  </r>
  <r>
    <d v="2025-05-01T00:00:00"/>
    <x v="1"/>
    <n v="3900"/>
    <n v="90"/>
    <n v="43.333333333333336"/>
  </r>
  <r>
    <d v="2025-05-01T00:00:00"/>
    <x v="2"/>
    <n v="4900"/>
    <n v="52"/>
    <n v="94.230769230769226"/>
  </r>
  <r>
    <d v="2025-05-01T00:00:00"/>
    <x v="3"/>
    <n v="1400"/>
    <n v="70"/>
    <n v="20"/>
  </r>
  <r>
    <d v="2025-05-01T00:00:00"/>
    <x v="4"/>
    <n v="600"/>
    <n v="65"/>
    <n v="9.2307692307692299"/>
  </r>
  <r>
    <d v="2025-06-01T00:00:00"/>
    <x v="0"/>
    <n v="6000"/>
    <n v="120"/>
    <n v="50"/>
  </r>
  <r>
    <d v="2025-06-01T00:00:00"/>
    <x v="1"/>
    <n v="4000"/>
    <n v="92"/>
    <n v="43.478260869565219"/>
  </r>
  <r>
    <d v="2025-06-01T00:00:00"/>
    <x v="2"/>
    <n v="5000"/>
    <n v="55"/>
    <n v="90.909090909090907"/>
  </r>
  <r>
    <d v="2025-06-01T00:00:00"/>
    <x v="3"/>
    <n v="1450"/>
    <n v="72"/>
    <n v="20.138888888888889"/>
  </r>
  <r>
    <d v="2025-06-01T00:00:00"/>
    <x v="4"/>
    <n v="620"/>
    <n v="67"/>
    <n v="9.2537313432835813"/>
  </r>
  <r>
    <d v="2025-07-01T00:00:00"/>
    <x v="0"/>
    <n v="6200"/>
    <n v="124"/>
    <n v="50"/>
  </r>
  <r>
    <d v="2025-07-01T00:00:00"/>
    <x v="1"/>
    <n v="4100"/>
    <n v="95"/>
    <n v="43.157894736842103"/>
  </r>
  <r>
    <d v="2025-07-01T00:00:00"/>
    <x v="2"/>
    <n v="5100"/>
    <n v="57"/>
    <n v="89.473684210526315"/>
  </r>
  <r>
    <d v="2025-07-01T00:00:00"/>
    <x v="3"/>
    <n v="1500"/>
    <n v="75"/>
    <n v="20"/>
  </r>
  <r>
    <d v="2025-07-01T00:00:00"/>
    <x v="4"/>
    <n v="650"/>
    <n v="70"/>
    <n v="9.2857142857142865"/>
  </r>
  <r>
    <d v="2025-08-01T00:00:00"/>
    <x v="0"/>
    <n v="6400"/>
    <n v="128"/>
    <n v="50"/>
  </r>
  <r>
    <d v="2025-08-01T00:00:00"/>
    <x v="1"/>
    <n v="4200"/>
    <n v="98"/>
    <n v="42.857142857142854"/>
  </r>
  <r>
    <d v="2025-08-01T00:00:00"/>
    <x v="2"/>
    <n v="5200"/>
    <n v="60"/>
    <n v="86.666666666666671"/>
  </r>
  <r>
    <d v="2025-08-01T00:00:00"/>
    <x v="3"/>
    <n v="1550"/>
    <n v="78"/>
    <n v="19.871794871794872"/>
  </r>
  <r>
    <d v="2025-08-01T00:00:00"/>
    <x v="4"/>
    <n v="680"/>
    <n v="72"/>
    <n v="9.4444444444444446"/>
  </r>
  <r>
    <d v="2025-09-01T00:00:00"/>
    <x v="0"/>
    <n v="6600"/>
    <n v="132"/>
    <n v="50"/>
  </r>
  <r>
    <d v="2025-09-01T00:00:00"/>
    <x v="1"/>
    <n v="4300"/>
    <n v="100"/>
    <n v="43"/>
  </r>
  <r>
    <d v="2025-09-01T00:00:00"/>
    <x v="2"/>
    <n v="5300"/>
    <n v="62"/>
    <n v="85.483870967741936"/>
  </r>
  <r>
    <d v="2025-09-01T00:00:00"/>
    <x v="3"/>
    <n v="1600"/>
    <n v="80"/>
    <n v="20"/>
  </r>
  <r>
    <d v="2025-09-01T00:00:00"/>
    <x v="4"/>
    <n v="700"/>
    <n v="75"/>
    <n v="9.3333333333333339"/>
  </r>
  <r>
    <d v="2025-10-01T00:00:00"/>
    <x v="0"/>
    <n v="6800"/>
    <n v="136"/>
    <n v="50"/>
  </r>
  <r>
    <d v="2025-10-01T00:00:00"/>
    <x v="1"/>
    <n v="4400"/>
    <n v="103"/>
    <n v="42.71844660194175"/>
  </r>
  <r>
    <d v="2025-10-01T00:00:00"/>
    <x v="2"/>
    <n v="5400"/>
    <n v="64"/>
    <n v="84.375"/>
  </r>
  <r>
    <d v="2025-10-01T00:00:00"/>
    <x v="3"/>
    <n v="1650"/>
    <n v="82"/>
    <n v="20.121951219512194"/>
  </r>
  <r>
    <d v="2025-10-01T00:00:00"/>
    <x v="4"/>
    <n v="720"/>
    <n v="77"/>
    <n v="9.3506493506493502"/>
  </r>
  <r>
    <d v="2025-11-01T00:00:00"/>
    <x v="0"/>
    <n v="7000"/>
    <n v="140"/>
    <n v="50"/>
  </r>
  <r>
    <d v="2025-11-01T00:00:00"/>
    <x v="1"/>
    <n v="4500"/>
    <n v="105"/>
    <n v="42.857142857142854"/>
  </r>
  <r>
    <d v="2025-11-01T00:00:00"/>
    <x v="2"/>
    <n v="5500"/>
    <n v="66"/>
    <n v="83.333333333333329"/>
  </r>
  <r>
    <d v="2025-11-01T00:00:00"/>
    <x v="3"/>
    <n v="1700"/>
    <n v="85"/>
    <n v="20"/>
  </r>
  <r>
    <d v="2025-11-01T00:00:00"/>
    <x v="4"/>
    <n v="750"/>
    <n v="80"/>
    <n v="9.375"/>
  </r>
  <r>
    <d v="2025-12-01T00:00:00"/>
    <x v="0"/>
    <n v="7200"/>
    <n v="145"/>
    <n v="49.655172413793103"/>
  </r>
  <r>
    <d v="2025-12-01T00:00:00"/>
    <x v="1"/>
    <n v="4600"/>
    <n v="108"/>
    <n v="42.592592592592595"/>
  </r>
  <r>
    <d v="2025-12-01T00:00:00"/>
    <x v="2"/>
    <n v="5600"/>
    <n v="68"/>
    <n v="82.352941176470594"/>
  </r>
  <r>
    <d v="2025-12-01T00:00:00"/>
    <x v="3"/>
    <n v="1750"/>
    <n v="88"/>
    <n v="19.886363636363637"/>
  </r>
  <r>
    <d v="2025-12-01T00:00:00"/>
    <x v="4"/>
    <n v="780"/>
    <n v="82"/>
    <n v="9.51219512195121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">
  <r>
    <s v="C001"/>
    <x v="0"/>
    <n v="49"/>
    <x v="0"/>
    <d v="2025-01-03T00:00:00"/>
    <m/>
  </r>
  <r>
    <s v="C002"/>
    <x v="0"/>
    <n v="49"/>
    <x v="0"/>
    <d v="2025-01-05T00:00:00"/>
    <m/>
  </r>
  <r>
    <s v="C003"/>
    <x v="0"/>
    <n v="49"/>
    <x v="0"/>
    <d v="2025-01-07T00:00:00"/>
    <m/>
  </r>
  <r>
    <s v="C004"/>
    <x v="0"/>
    <n v="49"/>
    <x v="0"/>
    <d v="2025-01-10T00:00:00"/>
    <m/>
  </r>
  <r>
    <s v="C005"/>
    <x v="0"/>
    <n v="49"/>
    <x v="1"/>
    <d v="2025-01-12T00:00:00"/>
    <d v="2025-04-12T00:00:00"/>
  </r>
  <r>
    <s v="C006"/>
    <x v="0"/>
    <n v="49"/>
    <x v="0"/>
    <d v="2025-01-15T00:00:00"/>
    <m/>
  </r>
  <r>
    <s v="C007"/>
    <x v="0"/>
    <n v="49"/>
    <x v="0"/>
    <d v="2025-01-18T00:00:00"/>
    <m/>
  </r>
  <r>
    <s v="C008"/>
    <x v="0"/>
    <n v="49"/>
    <x v="0"/>
    <d v="2025-01-22T00:00:00"/>
    <m/>
  </r>
  <r>
    <s v="C009"/>
    <x v="0"/>
    <n v="49"/>
    <x v="0"/>
    <d v="2025-01-25T00:00:00"/>
    <m/>
  </r>
  <r>
    <s v="C010"/>
    <x v="0"/>
    <n v="49"/>
    <x v="1"/>
    <d v="2025-01-28T00:00:00"/>
    <d v="2025-04-27T00:00:00"/>
  </r>
  <r>
    <s v="C011"/>
    <x v="0"/>
    <n v="49"/>
    <x v="0"/>
    <d v="2025-02-02T00:00:00"/>
    <m/>
  </r>
  <r>
    <s v="C012"/>
    <x v="0"/>
    <n v="49"/>
    <x v="0"/>
    <d v="2025-02-05T00:00:00"/>
    <m/>
  </r>
  <r>
    <s v="C013"/>
    <x v="0"/>
    <n v="49"/>
    <x v="0"/>
    <d v="2025-02-08T00:00:00"/>
    <m/>
  </r>
  <r>
    <s v="C014"/>
    <x v="0"/>
    <n v="49"/>
    <x v="0"/>
    <d v="2025-02-10T00:00:00"/>
    <m/>
  </r>
  <r>
    <s v="C015"/>
    <x v="0"/>
    <n v="49"/>
    <x v="1"/>
    <d v="2025-02-13T00:00:00"/>
    <d v="2025-05-03T00:00:00"/>
  </r>
  <r>
    <s v="C016"/>
    <x v="0"/>
    <n v="49"/>
    <x v="0"/>
    <d v="2025-02-16T00:00:00"/>
    <m/>
  </r>
  <r>
    <s v="C017"/>
    <x v="0"/>
    <n v="49"/>
    <x v="0"/>
    <d v="2025-02-18T00:00:00"/>
    <m/>
  </r>
  <r>
    <s v="C018"/>
    <x v="0"/>
    <n v="49"/>
    <x v="0"/>
    <d v="2025-02-21T00:00:00"/>
    <m/>
  </r>
  <r>
    <s v="C019"/>
    <x v="0"/>
    <n v="49"/>
    <x v="0"/>
    <d v="2025-02-24T00:00:00"/>
    <m/>
  </r>
  <r>
    <s v="C020"/>
    <x v="0"/>
    <n v="49"/>
    <x v="1"/>
    <d v="2025-02-27T00:00:00"/>
    <d v="2025-05-18T00:00:00"/>
  </r>
  <r>
    <s v="C021"/>
    <x v="0"/>
    <n v="49"/>
    <x v="0"/>
    <d v="2025-03-02T00:00:00"/>
    <m/>
  </r>
  <r>
    <s v="C022"/>
    <x v="0"/>
    <n v="49"/>
    <x v="0"/>
    <d v="2025-03-04T00:00:00"/>
    <m/>
  </r>
  <r>
    <s v="C023"/>
    <x v="0"/>
    <n v="49"/>
    <x v="0"/>
    <d v="2025-03-06T00:00:00"/>
    <m/>
  </r>
  <r>
    <s v="C024"/>
    <x v="0"/>
    <n v="49"/>
    <x v="0"/>
    <d v="2025-03-08T00:00:00"/>
    <m/>
  </r>
  <r>
    <s v="C025"/>
    <x v="0"/>
    <n v="49"/>
    <x v="1"/>
    <d v="2025-03-10T00:00:00"/>
    <d v="2025-05-18T00:00:00"/>
  </r>
  <r>
    <s v="C026"/>
    <x v="0"/>
    <n v="49"/>
    <x v="0"/>
    <d v="2025-03-12T00:00:00"/>
    <m/>
  </r>
  <r>
    <s v="C027"/>
    <x v="0"/>
    <n v="49"/>
    <x v="0"/>
    <d v="2025-03-14T00:00:00"/>
    <m/>
  </r>
  <r>
    <s v="C028"/>
    <x v="0"/>
    <n v="49"/>
    <x v="0"/>
    <d v="2025-03-16T00:00:00"/>
    <m/>
  </r>
  <r>
    <s v="C029"/>
    <x v="0"/>
    <n v="49"/>
    <x v="0"/>
    <d v="2025-03-18T00:00:00"/>
    <m/>
  </r>
  <r>
    <s v="C030"/>
    <x v="0"/>
    <n v="49"/>
    <x v="1"/>
    <d v="2025-03-20T00:00:00"/>
    <d v="2025-05-29T00:00:00"/>
  </r>
  <r>
    <s v="C031"/>
    <x v="0"/>
    <n v="49"/>
    <x v="0"/>
    <d v="2025-03-24T00:00:00"/>
    <m/>
  </r>
  <r>
    <s v="C032"/>
    <x v="0"/>
    <n v="49"/>
    <x v="0"/>
    <d v="2025-03-28T00:00:00"/>
    <m/>
  </r>
  <r>
    <s v="C033"/>
    <x v="0"/>
    <n v="49"/>
    <x v="0"/>
    <d v="2025-04-02T00:00:00"/>
    <m/>
  </r>
  <r>
    <s v="C034"/>
    <x v="0"/>
    <n v="49"/>
    <x v="0"/>
    <d v="2025-04-04T00:00:00"/>
    <m/>
  </r>
  <r>
    <s v="C035"/>
    <x v="0"/>
    <n v="49"/>
    <x v="1"/>
    <d v="2025-04-06T00:00:00"/>
    <d v="2025-06-07T00:00:00"/>
  </r>
  <r>
    <s v="C036"/>
    <x v="0"/>
    <n v="49"/>
    <x v="0"/>
    <d v="2025-04-08T00:00:00"/>
    <m/>
  </r>
  <r>
    <s v="C037"/>
    <x v="0"/>
    <n v="49"/>
    <x v="0"/>
    <d v="2025-04-10T00:00:00"/>
    <m/>
  </r>
  <r>
    <s v="C038"/>
    <x v="0"/>
    <n v="49"/>
    <x v="0"/>
    <d v="2025-04-12T00:00:00"/>
    <m/>
  </r>
  <r>
    <s v="C039"/>
    <x v="0"/>
    <n v="49"/>
    <x v="0"/>
    <d v="2025-04-14T00:00:00"/>
    <m/>
  </r>
  <r>
    <s v="C040"/>
    <x v="0"/>
    <n v="49"/>
    <x v="1"/>
    <d v="2025-04-16T00:00:00"/>
    <d v="2025-06-15T00:00:00"/>
  </r>
  <r>
    <s v="C041"/>
    <x v="0"/>
    <n v="49"/>
    <x v="0"/>
    <d v="2025-04-18T00:00:00"/>
    <m/>
  </r>
  <r>
    <s v="C042"/>
    <x v="0"/>
    <n v="49"/>
    <x v="0"/>
    <d v="2025-04-20T00:00:00"/>
    <m/>
  </r>
  <r>
    <s v="C043"/>
    <x v="0"/>
    <n v="49"/>
    <x v="0"/>
    <d v="2025-04-24T00:00:00"/>
    <m/>
  </r>
  <r>
    <s v="C044"/>
    <x v="0"/>
    <n v="49"/>
    <x v="0"/>
    <d v="2025-04-28T00:00:00"/>
    <m/>
  </r>
  <r>
    <s v="C045"/>
    <x v="0"/>
    <n v="49"/>
    <x v="1"/>
    <d v="2025-05-02T00:00:00"/>
    <d v="2025-06-28T00:00:00"/>
  </r>
  <r>
    <s v="C046"/>
    <x v="0"/>
    <n v="49"/>
    <x v="0"/>
    <d v="2025-05-04T00:00:00"/>
    <m/>
  </r>
  <r>
    <s v="C047"/>
    <x v="0"/>
    <n v="49"/>
    <x v="0"/>
    <d v="2025-05-06T00:00:00"/>
    <m/>
  </r>
  <r>
    <s v="C048"/>
    <x v="0"/>
    <n v="49"/>
    <x v="0"/>
    <d v="2025-05-09T00:00:00"/>
    <m/>
  </r>
  <r>
    <s v="C049"/>
    <x v="0"/>
    <n v="49"/>
    <x v="0"/>
    <d v="2025-05-11T00:00:00"/>
    <m/>
  </r>
  <r>
    <s v="C050"/>
    <x v="0"/>
    <n v="49"/>
    <x v="1"/>
    <d v="2025-05-14T00:00:00"/>
    <d v="2025-07-04T00:00:00"/>
  </r>
  <r>
    <s v="C051"/>
    <x v="0"/>
    <n v="49"/>
    <x v="0"/>
    <d v="2025-05-16T00:00:00"/>
    <m/>
  </r>
  <r>
    <s v="C052"/>
    <x v="0"/>
    <n v="49"/>
    <x v="0"/>
    <d v="2025-05-18T00:00:00"/>
    <m/>
  </r>
  <r>
    <s v="C053"/>
    <x v="0"/>
    <n v="49"/>
    <x v="0"/>
    <d v="2025-05-21T00:00:00"/>
    <m/>
  </r>
  <r>
    <s v="C054"/>
    <x v="0"/>
    <n v="49"/>
    <x v="0"/>
    <d v="2025-05-24T00:00:00"/>
    <m/>
  </r>
  <r>
    <s v="C055"/>
    <x v="0"/>
    <n v="49"/>
    <x v="1"/>
    <d v="2025-05-27T00:00:00"/>
    <d v="2025-07-16T00:00:00"/>
  </r>
  <r>
    <s v="C056"/>
    <x v="0"/>
    <n v="49"/>
    <x v="0"/>
    <d v="2025-05-30T00:00:00"/>
    <m/>
  </r>
  <r>
    <s v="C057"/>
    <x v="0"/>
    <n v="49"/>
    <x v="0"/>
    <d v="2025-06-02T00:00:00"/>
    <m/>
  </r>
  <r>
    <s v="C058"/>
    <x v="0"/>
    <n v="49"/>
    <x v="0"/>
    <d v="2025-06-04T00:00:00"/>
    <m/>
  </r>
  <r>
    <s v="C059"/>
    <x v="0"/>
    <n v="49"/>
    <x v="0"/>
    <d v="2025-06-07T00:00:00"/>
    <m/>
  </r>
  <r>
    <s v="C060"/>
    <x v="0"/>
    <n v="49"/>
    <x v="1"/>
    <d v="2025-06-09T00:00:00"/>
    <d v="2025-07-25T00:00:00"/>
  </r>
  <r>
    <s v="C061"/>
    <x v="0"/>
    <n v="49"/>
    <x v="0"/>
    <d v="2025-06-12T00:00:00"/>
    <m/>
  </r>
  <r>
    <s v="C062"/>
    <x v="0"/>
    <n v="49"/>
    <x v="0"/>
    <d v="2025-06-14T00:00:00"/>
    <m/>
  </r>
  <r>
    <s v="C063"/>
    <x v="0"/>
    <n v="49"/>
    <x v="0"/>
    <d v="2025-06-17T00:00:00"/>
    <m/>
  </r>
  <r>
    <s v="C064"/>
    <x v="0"/>
    <n v="49"/>
    <x v="1"/>
    <d v="2025-06-19T00:00:00"/>
    <d v="2025-08-02T00:00:00"/>
  </r>
  <r>
    <s v="C065"/>
    <x v="0"/>
    <n v="49"/>
    <x v="0"/>
    <d v="2025-06-22T00:00:00"/>
    <m/>
  </r>
  <r>
    <s v="C066"/>
    <x v="0"/>
    <n v="49"/>
    <x v="0"/>
    <d v="2025-06-24T00:00:00"/>
    <m/>
  </r>
  <r>
    <s v="C067"/>
    <x v="0"/>
    <n v="49"/>
    <x v="0"/>
    <d v="2025-06-27T00:00:00"/>
    <m/>
  </r>
  <r>
    <s v="C068"/>
    <x v="0"/>
    <n v="49"/>
    <x v="0"/>
    <d v="2025-06-30T00:00:00"/>
    <m/>
  </r>
  <r>
    <s v="C069"/>
    <x v="0"/>
    <n v="49"/>
    <x v="0"/>
    <d v="2025-07-02T00:00:00"/>
    <m/>
  </r>
  <r>
    <s v="C070"/>
    <x v="0"/>
    <n v="49"/>
    <x v="1"/>
    <d v="2025-07-05T00:00:00"/>
    <d v="2025-08-14T00:00:00"/>
  </r>
  <r>
    <s v="C071"/>
    <x v="0"/>
    <n v="49"/>
    <x v="0"/>
    <d v="2025-07-07T00:00:00"/>
    <m/>
  </r>
  <r>
    <s v="C072"/>
    <x v="0"/>
    <n v="49"/>
    <x v="0"/>
    <d v="2025-07-10T00:00:00"/>
    <m/>
  </r>
  <r>
    <s v="C073"/>
    <x v="0"/>
    <n v="49"/>
    <x v="0"/>
    <d v="2025-07-12T00:00:00"/>
    <m/>
  </r>
  <r>
    <s v="C074"/>
    <x v="0"/>
    <n v="49"/>
    <x v="0"/>
    <d v="2025-07-15T00:00:00"/>
    <m/>
  </r>
  <r>
    <s v="C075"/>
    <x v="0"/>
    <n v="49"/>
    <x v="1"/>
    <d v="2025-07-17T00:00:00"/>
    <d v="2025-08-27T00:00:00"/>
  </r>
  <r>
    <s v="C076"/>
    <x v="1"/>
    <n v="149"/>
    <x v="0"/>
    <d v="2025-07-20T00:00:00"/>
    <m/>
  </r>
  <r>
    <s v="C077"/>
    <x v="1"/>
    <n v="149"/>
    <x v="0"/>
    <d v="2025-07-22T00:00:00"/>
    <m/>
  </r>
  <r>
    <s v="C078"/>
    <x v="1"/>
    <n v="149"/>
    <x v="0"/>
    <d v="2025-07-25T00:00:00"/>
    <m/>
  </r>
  <r>
    <s v="C079"/>
    <x v="1"/>
    <n v="149"/>
    <x v="0"/>
    <d v="2025-07-27T00:00:00"/>
    <m/>
  </r>
  <r>
    <s v="C080"/>
    <x v="1"/>
    <n v="149"/>
    <x v="1"/>
    <d v="2025-07-30T00:00:00"/>
    <d v="2025-09-05T00:00:00"/>
  </r>
  <r>
    <s v="C081"/>
    <x v="1"/>
    <n v="149"/>
    <x v="0"/>
    <d v="2025-08-02T00:00:00"/>
    <m/>
  </r>
  <r>
    <s v="C082"/>
    <x v="1"/>
    <n v="149"/>
    <x v="0"/>
    <d v="2025-08-05T00:00:00"/>
    <m/>
  </r>
  <r>
    <s v="C083"/>
    <x v="1"/>
    <n v="149"/>
    <x v="0"/>
    <d v="2025-08-07T00:00:00"/>
    <m/>
  </r>
  <r>
    <s v="C084"/>
    <x v="1"/>
    <n v="149"/>
    <x v="0"/>
    <d v="2025-08-10T00:00:00"/>
    <m/>
  </r>
  <r>
    <s v="C085"/>
    <x v="1"/>
    <n v="149"/>
    <x v="1"/>
    <d v="2025-08-12T00:00:00"/>
    <d v="2025-09-13T00:00:00"/>
  </r>
  <r>
    <s v="C086"/>
    <x v="1"/>
    <n v="149"/>
    <x v="0"/>
    <d v="2025-08-15T00:00:00"/>
    <m/>
  </r>
  <r>
    <s v="C087"/>
    <x v="1"/>
    <n v="149"/>
    <x v="0"/>
    <d v="2025-08-17T00:00:00"/>
    <m/>
  </r>
  <r>
    <s v="C088"/>
    <x v="1"/>
    <n v="149"/>
    <x v="0"/>
    <d v="2025-08-20T00:00:00"/>
    <m/>
  </r>
  <r>
    <s v="C089"/>
    <x v="1"/>
    <n v="149"/>
    <x v="0"/>
    <d v="2025-08-22T00:00:00"/>
    <m/>
  </r>
  <r>
    <s v="C090"/>
    <x v="1"/>
    <n v="149"/>
    <x v="1"/>
    <d v="2025-08-25T00:00:00"/>
    <d v="2025-09-24T00:00:00"/>
  </r>
  <r>
    <s v="C091"/>
    <x v="1"/>
    <n v="149"/>
    <x v="0"/>
    <d v="2025-08-27T00:00:00"/>
    <m/>
  </r>
  <r>
    <s v="C092"/>
    <x v="1"/>
    <n v="149"/>
    <x v="0"/>
    <d v="2025-08-30T00:00:00"/>
    <m/>
  </r>
  <r>
    <s v="C093"/>
    <x v="1"/>
    <n v="149"/>
    <x v="0"/>
    <d v="2025-09-02T00:00:00"/>
    <m/>
  </r>
  <r>
    <s v="C094"/>
    <x v="1"/>
    <n v="149"/>
    <x v="0"/>
    <d v="2025-09-05T00:00:00"/>
    <m/>
  </r>
  <r>
    <s v="C095"/>
    <x v="1"/>
    <n v="149"/>
    <x v="1"/>
    <d v="2025-09-07T00:00:00"/>
    <d v="2025-10-02T00:00:00"/>
  </r>
  <r>
    <s v="C096"/>
    <x v="1"/>
    <n v="149"/>
    <x v="0"/>
    <d v="2025-09-10T00:00:00"/>
    <m/>
  </r>
  <r>
    <s v="C097"/>
    <x v="1"/>
    <n v="149"/>
    <x v="0"/>
    <d v="2025-09-12T00:00:00"/>
    <m/>
  </r>
  <r>
    <s v="C098"/>
    <x v="1"/>
    <n v="149"/>
    <x v="0"/>
    <d v="2025-09-15T00:00:00"/>
    <m/>
  </r>
  <r>
    <s v="C099"/>
    <x v="1"/>
    <n v="149"/>
    <x v="0"/>
    <d v="2025-09-17T00:00:00"/>
    <m/>
  </r>
  <r>
    <s v="C100"/>
    <x v="1"/>
    <n v="149"/>
    <x v="1"/>
    <d v="2025-09-20T00:00:00"/>
    <d v="2025-10-11T00:00:00"/>
  </r>
  <r>
    <s v="C101"/>
    <x v="1"/>
    <n v="149"/>
    <x v="0"/>
    <d v="2025-09-22T00:00:00"/>
    <m/>
  </r>
  <r>
    <s v="C102"/>
    <x v="1"/>
    <n v="149"/>
    <x v="0"/>
    <d v="2025-09-25T00:00:00"/>
    <m/>
  </r>
  <r>
    <s v="C103"/>
    <x v="1"/>
    <n v="149"/>
    <x v="0"/>
    <d v="2025-09-27T00:00:00"/>
    <m/>
  </r>
  <r>
    <s v="C104"/>
    <x v="1"/>
    <n v="149"/>
    <x v="0"/>
    <d v="2025-09-30T00:00:00"/>
    <m/>
  </r>
  <r>
    <s v="C105"/>
    <x v="1"/>
    <n v="149"/>
    <x v="1"/>
    <d v="2025-10-02T00:00:00"/>
    <d v="2025-10-23T00:00:00"/>
  </r>
  <r>
    <s v="C106"/>
    <x v="1"/>
    <n v="149"/>
    <x v="0"/>
    <d v="2025-10-05T00:00:00"/>
    <m/>
  </r>
  <r>
    <s v="C107"/>
    <x v="1"/>
    <n v="149"/>
    <x v="0"/>
    <d v="2025-10-07T00:00:00"/>
    <m/>
  </r>
  <r>
    <s v="C108"/>
    <x v="1"/>
    <n v="149"/>
    <x v="0"/>
    <d v="2025-10-10T00:00:00"/>
    <m/>
  </r>
  <r>
    <s v="C109"/>
    <x v="1"/>
    <n v="149"/>
    <x v="0"/>
    <d v="2025-10-12T00:00:00"/>
    <m/>
  </r>
  <r>
    <s v="C110"/>
    <x v="1"/>
    <n v="149"/>
    <x v="1"/>
    <d v="2025-10-15T00:00:00"/>
    <d v="2025-11-01T00:00:00"/>
  </r>
  <r>
    <s v="C111"/>
    <x v="1"/>
    <n v="149"/>
    <x v="0"/>
    <d v="2025-10-17T00:00:00"/>
    <m/>
  </r>
  <r>
    <s v="C112"/>
    <x v="1"/>
    <n v="149"/>
    <x v="0"/>
    <d v="2025-10-20T00:00:00"/>
    <m/>
  </r>
  <r>
    <s v="C113"/>
    <x v="1"/>
    <n v="149"/>
    <x v="0"/>
    <d v="2025-10-22T00:00:00"/>
    <m/>
  </r>
  <r>
    <s v="C114"/>
    <x v="1"/>
    <n v="149"/>
    <x v="0"/>
    <d v="2025-10-25T00:00:00"/>
    <m/>
  </r>
  <r>
    <s v="C115"/>
    <x v="1"/>
    <n v="149"/>
    <x v="1"/>
    <d v="2025-10-27T00:00:00"/>
    <d v="2025-11-12T00:00:00"/>
  </r>
  <r>
    <s v="C116"/>
    <x v="1"/>
    <n v="149"/>
    <x v="0"/>
    <d v="2025-10-30T00:00:00"/>
    <m/>
  </r>
  <r>
    <s v="C117"/>
    <x v="1"/>
    <n v="149"/>
    <x v="0"/>
    <d v="2025-11-02T00:00:00"/>
    <m/>
  </r>
  <r>
    <s v="C118"/>
    <x v="1"/>
    <n v="149"/>
    <x v="0"/>
    <d v="2025-11-05T00:00:00"/>
    <m/>
  </r>
  <r>
    <s v="C119"/>
    <x v="1"/>
    <n v="149"/>
    <x v="0"/>
    <d v="2025-11-07T00:00:00"/>
    <m/>
  </r>
  <r>
    <s v="C120"/>
    <x v="1"/>
    <n v="149"/>
    <x v="1"/>
    <d v="2025-11-10T00:00:00"/>
    <d v="2025-11-20T00:00:00"/>
  </r>
  <r>
    <s v="C121"/>
    <x v="1"/>
    <n v="149"/>
    <x v="0"/>
    <d v="2025-11-12T00:00:00"/>
    <m/>
  </r>
  <r>
    <s v="C122"/>
    <x v="1"/>
    <n v="149"/>
    <x v="0"/>
    <d v="2025-11-15T00:00:00"/>
    <m/>
  </r>
  <r>
    <s v="C123"/>
    <x v="1"/>
    <n v="149"/>
    <x v="0"/>
    <d v="2025-11-17T00:00:00"/>
    <m/>
  </r>
  <r>
    <s v="C124"/>
    <x v="1"/>
    <n v="149"/>
    <x v="0"/>
    <d v="2025-11-20T00:00:00"/>
    <m/>
  </r>
  <r>
    <s v="C125"/>
    <x v="1"/>
    <n v="149"/>
    <x v="1"/>
    <d v="2025-11-22T00:00:00"/>
    <d v="2025-12-03T00:00:00"/>
  </r>
  <r>
    <s v="C126"/>
    <x v="2"/>
    <n v="499"/>
    <x v="0"/>
    <d v="2025-11-25T00:00:00"/>
    <m/>
  </r>
  <r>
    <s v="C127"/>
    <x v="2"/>
    <n v="499"/>
    <x v="0"/>
    <d v="2025-11-27T00:00:00"/>
    <m/>
  </r>
  <r>
    <s v="C128"/>
    <x v="2"/>
    <n v="499"/>
    <x v="0"/>
    <d v="2025-11-30T00:00:00"/>
    <m/>
  </r>
  <r>
    <s v="C129"/>
    <x v="2"/>
    <n v="499"/>
    <x v="0"/>
    <d v="2025-12-02T00:00:00"/>
    <m/>
  </r>
  <r>
    <s v="C130"/>
    <x v="2"/>
    <n v="499"/>
    <x v="1"/>
    <d v="2025-12-05T00:00:00"/>
    <d v="2025-12-15T00:00:00"/>
  </r>
  <r>
    <s v="C131"/>
    <x v="2"/>
    <n v="499"/>
    <x v="0"/>
    <d v="2025-12-07T00:00:00"/>
    <m/>
  </r>
  <r>
    <s v="C132"/>
    <x v="2"/>
    <n v="499"/>
    <x v="0"/>
    <d v="2025-12-10T00:00:00"/>
    <m/>
  </r>
  <r>
    <s v="C133"/>
    <x v="2"/>
    <n v="499"/>
    <x v="0"/>
    <d v="2025-12-12T00:00:00"/>
    <m/>
  </r>
  <r>
    <s v="C134"/>
    <x v="2"/>
    <n v="499"/>
    <x v="0"/>
    <d v="2025-12-15T00:00:00"/>
    <m/>
  </r>
  <r>
    <s v="C135"/>
    <x v="2"/>
    <n v="499"/>
    <x v="1"/>
    <d v="2025-12-17T00:00:00"/>
    <d v="2025-12-22T00:00:00"/>
  </r>
  <r>
    <s v="C136"/>
    <x v="2"/>
    <n v="499"/>
    <x v="0"/>
    <d v="2025-12-20T00:00:00"/>
    <m/>
  </r>
  <r>
    <s v="C137"/>
    <x v="2"/>
    <n v="499"/>
    <x v="0"/>
    <d v="2025-12-22T00:00:00"/>
    <m/>
  </r>
  <r>
    <s v="C138"/>
    <x v="2"/>
    <n v="499"/>
    <x v="0"/>
    <d v="2025-12-25T00:00:00"/>
    <m/>
  </r>
  <r>
    <s v="C139"/>
    <x v="2"/>
    <n v="499"/>
    <x v="0"/>
    <d v="2025-12-27T00:00:00"/>
    <m/>
  </r>
  <r>
    <s v="C140"/>
    <x v="2"/>
    <n v="499"/>
    <x v="1"/>
    <d v="2025-06-30T00:00:00"/>
    <d v="2025-08-09T00:00:00"/>
  </r>
  <r>
    <s v="C141"/>
    <x v="2"/>
    <n v="499"/>
    <x v="0"/>
    <d v="2025-12-02T00:00:00"/>
    <m/>
  </r>
  <r>
    <s v="C142"/>
    <x v="2"/>
    <n v="499"/>
    <x v="0"/>
    <d v="2025-12-05T00:00:00"/>
    <m/>
  </r>
  <r>
    <s v="C143"/>
    <x v="2"/>
    <n v="499"/>
    <x v="0"/>
    <d v="2025-12-07T00:00:00"/>
    <m/>
  </r>
  <r>
    <s v="C144"/>
    <x v="2"/>
    <n v="499"/>
    <x v="0"/>
    <d v="2025-07-10T00:00:00"/>
    <m/>
  </r>
  <r>
    <s v="C145"/>
    <x v="2"/>
    <n v="499"/>
    <x v="1"/>
    <d v="2025-12-12T00:00:00"/>
    <d v="2025-09-18T00:00:00"/>
  </r>
  <r>
    <s v="C146"/>
    <x v="2"/>
    <n v="499"/>
    <x v="0"/>
    <d v="2025-12-15T00:00:00"/>
    <m/>
  </r>
  <r>
    <s v="C147"/>
    <x v="2"/>
    <n v="499"/>
    <x v="0"/>
    <d v="2025-12-17T00:00:00"/>
    <m/>
  </r>
  <r>
    <s v="C148"/>
    <x v="2"/>
    <n v="499"/>
    <x v="0"/>
    <d v="2025-12-20T00:00:00"/>
    <m/>
  </r>
  <r>
    <s v="C149"/>
    <x v="2"/>
    <n v="499"/>
    <x v="0"/>
    <d v="2025-12-22T00:00:00"/>
    <m/>
  </r>
  <r>
    <s v="C150"/>
    <x v="2"/>
    <n v="499"/>
    <x v="1"/>
    <d v="2025-11-25T00:00:00"/>
    <d v="2025-12-2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6"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numFmtId="14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r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/>
  <pivotFields count="6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numFmtId="14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9" firstHeaderRow="1" firstDataRow="1" firstDataCol="1"/>
  <pivotFields count="5">
    <pivotField numFmtId="164"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dataField="1" numFmtI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AC" fld="4" subtotal="average" baseField="1" baseItem="0" numFmtId="1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9" firstHeaderRow="1" firstDataRow="1" firstDataCol="1"/>
  <pivotFields count="5">
    <pivotField numFmtId="164"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dataField="1" showAll="0"/>
    <pivotField numFmtI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ignup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opLeftCell="A129" workbookViewId="0">
      <selection activeCell="E132" sqref="E132"/>
    </sheetView>
  </sheetViews>
  <sheetFormatPr defaultRowHeight="15" x14ac:dyDescent="0.25"/>
  <cols>
    <col min="1" max="1" width="17" customWidth="1"/>
    <col min="2" max="2" width="15.28515625" customWidth="1"/>
    <col min="3" max="3" width="23" customWidth="1"/>
    <col min="4" max="4" width="26.7109375" customWidth="1"/>
    <col min="5" max="5" width="23" customWidth="1"/>
  </cols>
  <sheetData>
    <row r="1" spans="1:5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168</v>
      </c>
      <c r="E2" s="2">
        <v>45660</v>
      </c>
    </row>
    <row r="3" spans="1:5" x14ac:dyDescent="0.25">
      <c r="A3" t="s">
        <v>8</v>
      </c>
      <c r="B3" t="s">
        <v>6</v>
      </c>
      <c r="C3" t="s">
        <v>7</v>
      </c>
      <c r="D3" t="s">
        <v>168</v>
      </c>
      <c r="E3" s="2">
        <v>45662</v>
      </c>
    </row>
    <row r="4" spans="1:5" x14ac:dyDescent="0.25">
      <c r="A4" t="s">
        <v>9</v>
      </c>
      <c r="B4" t="s">
        <v>6</v>
      </c>
      <c r="C4" t="s">
        <v>7</v>
      </c>
      <c r="D4" t="s">
        <v>168</v>
      </c>
      <c r="E4" s="2">
        <v>45664</v>
      </c>
    </row>
    <row r="5" spans="1:5" x14ac:dyDescent="0.25">
      <c r="A5" t="s">
        <v>12</v>
      </c>
      <c r="B5" t="s">
        <v>6</v>
      </c>
      <c r="C5" t="s">
        <v>7</v>
      </c>
      <c r="D5" t="s">
        <v>168</v>
      </c>
      <c r="E5" s="2">
        <v>45667</v>
      </c>
    </row>
    <row r="6" spans="1:5" x14ac:dyDescent="0.25">
      <c r="A6" t="s">
        <v>14</v>
      </c>
      <c r="B6" t="s">
        <v>6</v>
      </c>
      <c r="C6" t="s">
        <v>7</v>
      </c>
      <c r="D6" t="s">
        <v>168</v>
      </c>
      <c r="E6" s="2">
        <v>45669</v>
      </c>
    </row>
    <row r="7" spans="1:5" x14ac:dyDescent="0.25">
      <c r="A7" t="s">
        <v>16</v>
      </c>
      <c r="B7" t="s">
        <v>6</v>
      </c>
      <c r="C7" t="s">
        <v>7</v>
      </c>
      <c r="D7" t="s">
        <v>168</v>
      </c>
      <c r="E7" s="2">
        <v>45672</v>
      </c>
    </row>
    <row r="8" spans="1:5" x14ac:dyDescent="0.25">
      <c r="A8" t="s">
        <v>18</v>
      </c>
      <c r="B8" t="s">
        <v>6</v>
      </c>
      <c r="C8" t="s">
        <v>7</v>
      </c>
      <c r="D8" t="s">
        <v>168</v>
      </c>
      <c r="E8" s="2">
        <v>45675</v>
      </c>
    </row>
    <row r="9" spans="1:5" x14ac:dyDescent="0.25">
      <c r="A9" t="s">
        <v>19</v>
      </c>
      <c r="B9" t="s">
        <v>6</v>
      </c>
      <c r="C9" t="s">
        <v>7</v>
      </c>
      <c r="D9" t="s">
        <v>168</v>
      </c>
      <c r="E9" s="2">
        <v>45679</v>
      </c>
    </row>
    <row r="10" spans="1:5" x14ac:dyDescent="0.25">
      <c r="A10" t="s">
        <v>20</v>
      </c>
      <c r="B10" t="s">
        <v>6</v>
      </c>
      <c r="C10" t="s">
        <v>7</v>
      </c>
      <c r="D10" t="s">
        <v>168</v>
      </c>
      <c r="E10" s="2">
        <v>45682</v>
      </c>
    </row>
    <row r="11" spans="1:5" x14ac:dyDescent="0.25">
      <c r="A11" t="s">
        <v>21</v>
      </c>
      <c r="B11" t="s">
        <v>6</v>
      </c>
      <c r="C11" t="s">
        <v>7</v>
      </c>
      <c r="D11" t="s">
        <v>168</v>
      </c>
      <c r="E11" s="2">
        <v>45685</v>
      </c>
    </row>
    <row r="12" spans="1:5" x14ac:dyDescent="0.25">
      <c r="A12" t="s">
        <v>23</v>
      </c>
      <c r="B12" t="s">
        <v>6</v>
      </c>
      <c r="C12" t="s">
        <v>7</v>
      </c>
      <c r="D12" t="s">
        <v>168</v>
      </c>
      <c r="E12" s="2">
        <v>45690</v>
      </c>
    </row>
    <row r="13" spans="1:5" x14ac:dyDescent="0.25">
      <c r="A13" t="s">
        <v>24</v>
      </c>
      <c r="B13" t="s">
        <v>6</v>
      </c>
      <c r="C13" t="s">
        <v>7</v>
      </c>
      <c r="D13" t="s">
        <v>168</v>
      </c>
      <c r="E13" s="2">
        <v>45693</v>
      </c>
    </row>
    <row r="14" spans="1:5" x14ac:dyDescent="0.25">
      <c r="A14" t="s">
        <v>25</v>
      </c>
      <c r="B14" t="s">
        <v>6</v>
      </c>
      <c r="C14" t="s">
        <v>7</v>
      </c>
      <c r="D14" t="s">
        <v>168</v>
      </c>
      <c r="E14" s="2">
        <v>45696</v>
      </c>
    </row>
    <row r="15" spans="1:5" x14ac:dyDescent="0.25">
      <c r="A15" t="s">
        <v>26</v>
      </c>
      <c r="B15" t="s">
        <v>6</v>
      </c>
      <c r="C15" t="s">
        <v>7</v>
      </c>
      <c r="D15" t="s">
        <v>168</v>
      </c>
      <c r="E15" s="2">
        <v>45698</v>
      </c>
    </row>
    <row r="16" spans="1:5" x14ac:dyDescent="0.25">
      <c r="A16" t="s">
        <v>27</v>
      </c>
      <c r="B16" t="s">
        <v>6</v>
      </c>
      <c r="C16" t="s">
        <v>7</v>
      </c>
      <c r="D16" t="s">
        <v>168</v>
      </c>
      <c r="E16" s="2">
        <v>45701</v>
      </c>
    </row>
    <row r="17" spans="1:5" x14ac:dyDescent="0.25">
      <c r="A17" t="s">
        <v>28</v>
      </c>
      <c r="B17" t="s">
        <v>6</v>
      </c>
      <c r="C17" t="s">
        <v>7</v>
      </c>
      <c r="D17" t="s">
        <v>168</v>
      </c>
      <c r="E17" s="2">
        <v>45704</v>
      </c>
    </row>
    <row r="18" spans="1:5" x14ac:dyDescent="0.25">
      <c r="A18" t="s">
        <v>29</v>
      </c>
      <c r="B18" t="s">
        <v>6</v>
      </c>
      <c r="C18" t="s">
        <v>7</v>
      </c>
      <c r="D18" t="s">
        <v>168</v>
      </c>
      <c r="E18" s="2">
        <v>45706</v>
      </c>
    </row>
    <row r="19" spans="1:5" x14ac:dyDescent="0.25">
      <c r="A19" t="s">
        <v>30</v>
      </c>
      <c r="B19" t="s">
        <v>6</v>
      </c>
      <c r="C19" t="s">
        <v>7</v>
      </c>
      <c r="D19" t="s">
        <v>168</v>
      </c>
      <c r="E19" s="2">
        <v>45709</v>
      </c>
    </row>
    <row r="20" spans="1:5" x14ac:dyDescent="0.25">
      <c r="A20" t="s">
        <v>31</v>
      </c>
      <c r="B20" t="s">
        <v>6</v>
      </c>
      <c r="C20" t="s">
        <v>7</v>
      </c>
      <c r="D20" t="s">
        <v>168</v>
      </c>
      <c r="E20" s="2">
        <v>45712</v>
      </c>
    </row>
    <row r="21" spans="1:5" x14ac:dyDescent="0.25">
      <c r="A21" t="s">
        <v>32</v>
      </c>
      <c r="B21" t="s">
        <v>6</v>
      </c>
      <c r="C21" t="s">
        <v>7</v>
      </c>
      <c r="D21" t="s">
        <v>168</v>
      </c>
      <c r="E21" s="2">
        <v>45715</v>
      </c>
    </row>
    <row r="22" spans="1:5" x14ac:dyDescent="0.25">
      <c r="A22" t="s">
        <v>33</v>
      </c>
      <c r="B22" t="s">
        <v>6</v>
      </c>
      <c r="C22" t="s">
        <v>7</v>
      </c>
      <c r="D22" t="s">
        <v>168</v>
      </c>
      <c r="E22" s="2">
        <v>45718</v>
      </c>
    </row>
    <row r="23" spans="1:5" x14ac:dyDescent="0.25">
      <c r="A23" t="s">
        <v>34</v>
      </c>
      <c r="B23" t="s">
        <v>6</v>
      </c>
      <c r="C23" t="s">
        <v>7</v>
      </c>
      <c r="D23" t="s">
        <v>168</v>
      </c>
      <c r="E23" s="2">
        <v>45720</v>
      </c>
    </row>
    <row r="24" spans="1:5" x14ac:dyDescent="0.25">
      <c r="A24" t="s">
        <v>35</v>
      </c>
      <c r="B24" t="s">
        <v>6</v>
      </c>
      <c r="C24" t="s">
        <v>7</v>
      </c>
      <c r="D24" t="s">
        <v>168</v>
      </c>
      <c r="E24" s="2">
        <v>45722</v>
      </c>
    </row>
    <row r="25" spans="1:5" x14ac:dyDescent="0.25">
      <c r="A25" t="s">
        <v>36</v>
      </c>
      <c r="B25" t="s">
        <v>6</v>
      </c>
      <c r="C25" t="s">
        <v>7</v>
      </c>
      <c r="D25" t="s">
        <v>168</v>
      </c>
      <c r="E25" s="2">
        <v>45724</v>
      </c>
    </row>
    <row r="26" spans="1:5" x14ac:dyDescent="0.25">
      <c r="A26" t="s">
        <v>37</v>
      </c>
      <c r="B26" t="s">
        <v>6</v>
      </c>
      <c r="C26" t="s">
        <v>7</v>
      </c>
      <c r="D26" t="s">
        <v>168</v>
      </c>
      <c r="E26" s="2">
        <v>45726</v>
      </c>
    </row>
    <row r="27" spans="1:5" x14ac:dyDescent="0.25">
      <c r="A27" t="s">
        <v>38</v>
      </c>
      <c r="B27" t="s">
        <v>6</v>
      </c>
      <c r="C27" t="s">
        <v>7</v>
      </c>
      <c r="D27" t="s">
        <v>168</v>
      </c>
      <c r="E27" s="2">
        <v>45728</v>
      </c>
    </row>
    <row r="28" spans="1:5" x14ac:dyDescent="0.25">
      <c r="A28" t="s">
        <v>39</v>
      </c>
      <c r="B28" t="s">
        <v>6</v>
      </c>
      <c r="C28" t="s">
        <v>7</v>
      </c>
      <c r="D28" t="s">
        <v>168</v>
      </c>
      <c r="E28" s="2">
        <v>45730</v>
      </c>
    </row>
    <row r="29" spans="1:5" x14ac:dyDescent="0.25">
      <c r="A29" t="s">
        <v>40</v>
      </c>
      <c r="B29" t="s">
        <v>6</v>
      </c>
      <c r="C29" t="s">
        <v>7</v>
      </c>
      <c r="D29" t="s">
        <v>168</v>
      </c>
      <c r="E29" s="2">
        <v>45732</v>
      </c>
    </row>
    <row r="30" spans="1:5" x14ac:dyDescent="0.25">
      <c r="A30" t="s">
        <v>41</v>
      </c>
      <c r="B30" t="s">
        <v>6</v>
      </c>
      <c r="C30" t="s">
        <v>7</v>
      </c>
      <c r="D30" t="s">
        <v>168</v>
      </c>
      <c r="E30" s="2">
        <v>45734</v>
      </c>
    </row>
    <row r="31" spans="1:5" x14ac:dyDescent="0.25">
      <c r="A31" t="s">
        <v>42</v>
      </c>
      <c r="B31" t="s">
        <v>6</v>
      </c>
      <c r="C31" t="s">
        <v>7</v>
      </c>
      <c r="D31" t="s">
        <v>168</v>
      </c>
      <c r="E31" s="2">
        <v>45736</v>
      </c>
    </row>
    <row r="32" spans="1:5" x14ac:dyDescent="0.25">
      <c r="A32" t="s">
        <v>43</v>
      </c>
      <c r="B32" t="s">
        <v>6</v>
      </c>
      <c r="C32" t="s">
        <v>7</v>
      </c>
      <c r="D32" t="s">
        <v>168</v>
      </c>
      <c r="E32" s="2">
        <v>45740</v>
      </c>
    </row>
    <row r="33" spans="1:5" x14ac:dyDescent="0.25">
      <c r="A33" t="s">
        <v>44</v>
      </c>
      <c r="B33" t="s">
        <v>6</v>
      </c>
      <c r="C33" t="s">
        <v>7</v>
      </c>
      <c r="D33" t="s">
        <v>168</v>
      </c>
      <c r="E33" s="2">
        <v>45744</v>
      </c>
    </row>
    <row r="34" spans="1:5" x14ac:dyDescent="0.25">
      <c r="A34" t="s">
        <v>45</v>
      </c>
      <c r="B34" t="s">
        <v>6</v>
      </c>
      <c r="C34" t="s">
        <v>7</v>
      </c>
      <c r="D34" t="s">
        <v>168</v>
      </c>
      <c r="E34" s="2">
        <v>45749</v>
      </c>
    </row>
    <row r="35" spans="1:5" x14ac:dyDescent="0.25">
      <c r="A35" t="s">
        <v>46</v>
      </c>
      <c r="B35" t="s">
        <v>6</v>
      </c>
      <c r="C35" t="s">
        <v>7</v>
      </c>
      <c r="D35" t="s">
        <v>168</v>
      </c>
      <c r="E35" s="2">
        <v>45751</v>
      </c>
    </row>
    <row r="36" spans="1:5" x14ac:dyDescent="0.25">
      <c r="A36" t="s">
        <v>47</v>
      </c>
      <c r="B36" t="s">
        <v>6</v>
      </c>
      <c r="C36" t="s">
        <v>7</v>
      </c>
      <c r="D36" t="s">
        <v>168</v>
      </c>
      <c r="E36" s="2">
        <v>45753</v>
      </c>
    </row>
    <row r="37" spans="1:5" x14ac:dyDescent="0.25">
      <c r="A37" t="s">
        <v>48</v>
      </c>
      <c r="B37" t="s">
        <v>6</v>
      </c>
      <c r="C37" t="s">
        <v>22</v>
      </c>
      <c r="D37" t="s">
        <v>168</v>
      </c>
      <c r="E37" s="2">
        <v>45755</v>
      </c>
    </row>
    <row r="38" spans="1:5" x14ac:dyDescent="0.25">
      <c r="A38" t="s">
        <v>49</v>
      </c>
      <c r="B38" t="s">
        <v>6</v>
      </c>
      <c r="C38" t="s">
        <v>22</v>
      </c>
      <c r="D38" t="s">
        <v>168</v>
      </c>
      <c r="E38" s="2">
        <v>45757</v>
      </c>
    </row>
    <row r="39" spans="1:5" x14ac:dyDescent="0.25">
      <c r="A39" t="s">
        <v>50</v>
      </c>
      <c r="B39" t="s">
        <v>6</v>
      </c>
      <c r="C39" t="s">
        <v>22</v>
      </c>
      <c r="D39" t="s">
        <v>168</v>
      </c>
      <c r="E39" s="2">
        <v>45759</v>
      </c>
    </row>
    <row r="40" spans="1:5" x14ac:dyDescent="0.25">
      <c r="A40" t="s">
        <v>51</v>
      </c>
      <c r="B40" t="s">
        <v>6</v>
      </c>
      <c r="C40" t="s">
        <v>22</v>
      </c>
      <c r="D40" t="s">
        <v>168</v>
      </c>
      <c r="E40" s="2">
        <v>45761</v>
      </c>
    </row>
    <row r="41" spans="1:5" x14ac:dyDescent="0.25">
      <c r="A41" t="s">
        <v>52</v>
      </c>
      <c r="B41" t="s">
        <v>6</v>
      </c>
      <c r="C41" t="s">
        <v>22</v>
      </c>
      <c r="D41" t="s">
        <v>168</v>
      </c>
      <c r="E41" s="2">
        <v>45763</v>
      </c>
    </row>
    <row r="42" spans="1:5" x14ac:dyDescent="0.25">
      <c r="A42" t="s">
        <v>53</v>
      </c>
      <c r="B42" t="s">
        <v>6</v>
      </c>
      <c r="C42" t="s">
        <v>22</v>
      </c>
      <c r="D42" t="s">
        <v>168</v>
      </c>
      <c r="E42" s="2">
        <v>45765</v>
      </c>
    </row>
    <row r="43" spans="1:5" x14ac:dyDescent="0.25">
      <c r="A43" t="s">
        <v>54</v>
      </c>
      <c r="B43" t="s">
        <v>6</v>
      </c>
      <c r="C43" t="s">
        <v>22</v>
      </c>
      <c r="D43" t="s">
        <v>168</v>
      </c>
      <c r="E43" s="2">
        <v>45767</v>
      </c>
    </row>
    <row r="44" spans="1:5" x14ac:dyDescent="0.25">
      <c r="A44" t="s">
        <v>55</v>
      </c>
      <c r="B44" t="s">
        <v>6</v>
      </c>
      <c r="C44" t="s">
        <v>22</v>
      </c>
      <c r="D44" t="s">
        <v>168</v>
      </c>
      <c r="E44" s="2">
        <v>45771</v>
      </c>
    </row>
    <row r="45" spans="1:5" x14ac:dyDescent="0.25">
      <c r="A45" t="s">
        <v>56</v>
      </c>
      <c r="B45" t="s">
        <v>6</v>
      </c>
      <c r="C45" t="s">
        <v>22</v>
      </c>
      <c r="D45" t="s">
        <v>168</v>
      </c>
      <c r="E45" s="2">
        <v>45775</v>
      </c>
    </row>
    <row r="46" spans="1:5" x14ac:dyDescent="0.25">
      <c r="A46" t="s">
        <v>57</v>
      </c>
      <c r="B46" t="s">
        <v>6</v>
      </c>
      <c r="C46" t="s">
        <v>22</v>
      </c>
      <c r="D46" t="s">
        <v>168</v>
      </c>
      <c r="E46" s="2">
        <v>45779</v>
      </c>
    </row>
    <row r="47" spans="1:5" x14ac:dyDescent="0.25">
      <c r="A47" t="s">
        <v>58</v>
      </c>
      <c r="B47" t="s">
        <v>6</v>
      </c>
      <c r="C47" t="s">
        <v>22</v>
      </c>
      <c r="D47" t="s">
        <v>169</v>
      </c>
      <c r="E47" s="2">
        <v>45781</v>
      </c>
    </row>
    <row r="48" spans="1:5" x14ac:dyDescent="0.25">
      <c r="A48" t="s">
        <v>59</v>
      </c>
      <c r="B48" t="s">
        <v>6</v>
      </c>
      <c r="C48" t="s">
        <v>22</v>
      </c>
      <c r="D48" t="s">
        <v>169</v>
      </c>
      <c r="E48" s="2">
        <v>45783</v>
      </c>
    </row>
    <row r="49" spans="1:5" x14ac:dyDescent="0.25">
      <c r="A49" t="s">
        <v>60</v>
      </c>
      <c r="B49" t="s">
        <v>6</v>
      </c>
      <c r="C49" t="s">
        <v>22</v>
      </c>
      <c r="D49" t="s">
        <v>169</v>
      </c>
      <c r="E49" s="2">
        <v>45786</v>
      </c>
    </row>
    <row r="50" spans="1:5" x14ac:dyDescent="0.25">
      <c r="A50" t="s">
        <v>61</v>
      </c>
      <c r="B50" t="s">
        <v>6</v>
      </c>
      <c r="C50" t="s">
        <v>22</v>
      </c>
      <c r="D50" t="s">
        <v>169</v>
      </c>
      <c r="E50" s="2">
        <v>45788</v>
      </c>
    </row>
    <row r="51" spans="1:5" x14ac:dyDescent="0.25">
      <c r="A51" t="s">
        <v>62</v>
      </c>
      <c r="B51" t="s">
        <v>6</v>
      </c>
      <c r="C51" t="s">
        <v>22</v>
      </c>
      <c r="D51" t="s">
        <v>169</v>
      </c>
      <c r="E51" s="2">
        <v>45791</v>
      </c>
    </row>
    <row r="52" spans="1:5" x14ac:dyDescent="0.25">
      <c r="A52" t="s">
        <v>63</v>
      </c>
      <c r="B52" t="s">
        <v>6</v>
      </c>
      <c r="C52" t="s">
        <v>22</v>
      </c>
      <c r="D52" t="s">
        <v>169</v>
      </c>
      <c r="E52" s="2">
        <v>45793</v>
      </c>
    </row>
    <row r="53" spans="1:5" x14ac:dyDescent="0.25">
      <c r="A53" t="s">
        <v>64</v>
      </c>
      <c r="B53" t="s">
        <v>6</v>
      </c>
      <c r="C53" t="s">
        <v>22</v>
      </c>
      <c r="D53" t="s">
        <v>169</v>
      </c>
      <c r="E53" s="2">
        <v>45795</v>
      </c>
    </row>
    <row r="54" spans="1:5" x14ac:dyDescent="0.25">
      <c r="A54" t="s">
        <v>65</v>
      </c>
      <c r="B54" t="s">
        <v>6</v>
      </c>
      <c r="C54" t="s">
        <v>22</v>
      </c>
      <c r="D54" t="s">
        <v>169</v>
      </c>
      <c r="E54" s="2">
        <v>45798</v>
      </c>
    </row>
    <row r="55" spans="1:5" x14ac:dyDescent="0.25">
      <c r="A55" t="s">
        <v>66</v>
      </c>
      <c r="B55" t="s">
        <v>6</v>
      </c>
      <c r="C55" t="s">
        <v>22</v>
      </c>
      <c r="D55" t="s">
        <v>169</v>
      </c>
      <c r="E55" s="2">
        <v>45801</v>
      </c>
    </row>
    <row r="56" spans="1:5" x14ac:dyDescent="0.25">
      <c r="A56" t="s">
        <v>67</v>
      </c>
      <c r="B56" t="s">
        <v>6</v>
      </c>
      <c r="C56" t="s">
        <v>22</v>
      </c>
      <c r="D56" t="s">
        <v>169</v>
      </c>
      <c r="E56" s="2">
        <v>45804</v>
      </c>
    </row>
    <row r="57" spans="1:5" x14ac:dyDescent="0.25">
      <c r="A57" t="s">
        <v>68</v>
      </c>
      <c r="B57" t="s">
        <v>6</v>
      </c>
      <c r="C57" t="s">
        <v>11</v>
      </c>
      <c r="D57" t="s">
        <v>169</v>
      </c>
      <c r="E57" s="2">
        <v>45807</v>
      </c>
    </row>
    <row r="58" spans="1:5" x14ac:dyDescent="0.25">
      <c r="A58" t="s">
        <v>69</v>
      </c>
      <c r="B58" t="s">
        <v>6</v>
      </c>
      <c r="C58" t="s">
        <v>11</v>
      </c>
      <c r="D58" t="s">
        <v>169</v>
      </c>
      <c r="E58" s="2">
        <v>45810</v>
      </c>
    </row>
    <row r="59" spans="1:5" x14ac:dyDescent="0.25">
      <c r="A59" t="s">
        <v>70</v>
      </c>
      <c r="B59" t="s">
        <v>6</v>
      </c>
      <c r="C59" t="s">
        <v>11</v>
      </c>
      <c r="D59" t="s">
        <v>169</v>
      </c>
      <c r="E59" s="2">
        <v>45812</v>
      </c>
    </row>
    <row r="60" spans="1:5" x14ac:dyDescent="0.25">
      <c r="A60" t="s">
        <v>71</v>
      </c>
      <c r="B60" t="s">
        <v>6</v>
      </c>
      <c r="C60" t="s">
        <v>11</v>
      </c>
      <c r="D60" t="s">
        <v>169</v>
      </c>
      <c r="E60" s="2">
        <v>45815</v>
      </c>
    </row>
    <row r="61" spans="1:5" x14ac:dyDescent="0.25">
      <c r="A61" t="s">
        <v>72</v>
      </c>
      <c r="B61" t="s">
        <v>6</v>
      </c>
      <c r="C61" t="s">
        <v>11</v>
      </c>
      <c r="D61" t="s">
        <v>169</v>
      </c>
      <c r="E61" s="2">
        <v>45817</v>
      </c>
    </row>
    <row r="62" spans="1:5" x14ac:dyDescent="0.25">
      <c r="A62" t="s">
        <v>73</v>
      </c>
      <c r="B62" t="s">
        <v>6</v>
      </c>
      <c r="C62" t="s">
        <v>11</v>
      </c>
      <c r="D62" t="s">
        <v>169</v>
      </c>
      <c r="E62" s="2">
        <v>45820</v>
      </c>
    </row>
    <row r="63" spans="1:5" x14ac:dyDescent="0.25">
      <c r="A63" t="s">
        <v>74</v>
      </c>
      <c r="B63" t="s">
        <v>6</v>
      </c>
      <c r="C63" t="s">
        <v>11</v>
      </c>
      <c r="D63" t="s">
        <v>169</v>
      </c>
      <c r="E63" s="2">
        <v>45822</v>
      </c>
    </row>
    <row r="64" spans="1:5" x14ac:dyDescent="0.25">
      <c r="A64" t="s">
        <v>75</v>
      </c>
      <c r="B64" t="s">
        <v>6</v>
      </c>
      <c r="C64" t="s">
        <v>11</v>
      </c>
      <c r="D64" t="s">
        <v>169</v>
      </c>
      <c r="E64" s="2">
        <v>45825</v>
      </c>
    </row>
    <row r="65" spans="1:5" x14ac:dyDescent="0.25">
      <c r="A65" t="s">
        <v>76</v>
      </c>
      <c r="B65" t="s">
        <v>6</v>
      </c>
      <c r="C65" t="s">
        <v>11</v>
      </c>
      <c r="D65" t="s">
        <v>169</v>
      </c>
      <c r="E65" s="2">
        <v>45827</v>
      </c>
    </row>
    <row r="66" spans="1:5" x14ac:dyDescent="0.25">
      <c r="A66" t="s">
        <v>77</v>
      </c>
      <c r="B66" t="s">
        <v>6</v>
      </c>
      <c r="C66" t="s">
        <v>11</v>
      </c>
      <c r="D66" t="s">
        <v>169</v>
      </c>
      <c r="E66" s="2">
        <v>45830</v>
      </c>
    </row>
    <row r="67" spans="1:5" x14ac:dyDescent="0.25">
      <c r="A67" t="s">
        <v>78</v>
      </c>
      <c r="B67" t="s">
        <v>6</v>
      </c>
      <c r="C67" t="s">
        <v>11</v>
      </c>
      <c r="D67" t="s">
        <v>169</v>
      </c>
      <c r="E67" s="2">
        <v>45832</v>
      </c>
    </row>
    <row r="68" spans="1:5" x14ac:dyDescent="0.25">
      <c r="A68" t="s">
        <v>79</v>
      </c>
      <c r="B68" t="s">
        <v>6</v>
      </c>
      <c r="C68" t="s">
        <v>11</v>
      </c>
      <c r="D68" t="s">
        <v>169</v>
      </c>
      <c r="E68" s="2">
        <v>45835</v>
      </c>
    </row>
    <row r="69" spans="1:5" x14ac:dyDescent="0.25">
      <c r="A69" t="s">
        <v>80</v>
      </c>
      <c r="B69" t="s">
        <v>6</v>
      </c>
      <c r="C69" t="s">
        <v>11</v>
      </c>
      <c r="D69" t="s">
        <v>169</v>
      </c>
      <c r="E69" s="2">
        <v>45838</v>
      </c>
    </row>
    <row r="70" spans="1:5" x14ac:dyDescent="0.25">
      <c r="A70" t="s">
        <v>81</v>
      </c>
      <c r="B70" t="s">
        <v>6</v>
      </c>
      <c r="C70" t="s">
        <v>11</v>
      </c>
      <c r="D70" t="s">
        <v>169</v>
      </c>
      <c r="E70" s="2">
        <v>45840</v>
      </c>
    </row>
    <row r="71" spans="1:5" x14ac:dyDescent="0.25">
      <c r="A71" t="s">
        <v>82</v>
      </c>
      <c r="B71" t="s">
        <v>6</v>
      </c>
      <c r="C71" t="s">
        <v>11</v>
      </c>
      <c r="D71" t="s">
        <v>169</v>
      </c>
      <c r="E71" s="2">
        <v>45843</v>
      </c>
    </row>
    <row r="72" spans="1:5" x14ac:dyDescent="0.25">
      <c r="A72" t="s">
        <v>83</v>
      </c>
      <c r="B72" t="s">
        <v>6</v>
      </c>
      <c r="C72" t="s">
        <v>15</v>
      </c>
      <c r="D72" t="s">
        <v>169</v>
      </c>
      <c r="E72" s="2">
        <v>45845</v>
      </c>
    </row>
    <row r="73" spans="1:5" x14ac:dyDescent="0.25">
      <c r="A73" t="s">
        <v>84</v>
      </c>
      <c r="B73" t="s">
        <v>6</v>
      </c>
      <c r="C73" t="s">
        <v>15</v>
      </c>
      <c r="D73" t="s">
        <v>169</v>
      </c>
      <c r="E73" s="2">
        <v>45848</v>
      </c>
    </row>
    <row r="74" spans="1:5" x14ac:dyDescent="0.25">
      <c r="A74" t="s">
        <v>85</v>
      </c>
      <c r="B74" t="s">
        <v>6</v>
      </c>
      <c r="C74" t="s">
        <v>15</v>
      </c>
      <c r="D74" t="s">
        <v>169</v>
      </c>
      <c r="E74" s="2">
        <v>45850</v>
      </c>
    </row>
    <row r="75" spans="1:5" x14ac:dyDescent="0.25">
      <c r="A75" t="s">
        <v>86</v>
      </c>
      <c r="B75" t="s">
        <v>6</v>
      </c>
      <c r="C75" t="s">
        <v>15</v>
      </c>
      <c r="D75" t="s">
        <v>169</v>
      </c>
      <c r="E75" s="2">
        <v>45853</v>
      </c>
    </row>
    <row r="76" spans="1:5" x14ac:dyDescent="0.25">
      <c r="A76" t="s">
        <v>87</v>
      </c>
      <c r="B76" t="s">
        <v>6</v>
      </c>
      <c r="C76" t="s">
        <v>15</v>
      </c>
      <c r="D76" t="s">
        <v>169</v>
      </c>
      <c r="E76" s="2">
        <v>45855</v>
      </c>
    </row>
    <row r="77" spans="1:5" x14ac:dyDescent="0.25">
      <c r="A77" t="s">
        <v>88</v>
      </c>
      <c r="B77" t="s">
        <v>10</v>
      </c>
      <c r="C77" t="s">
        <v>15</v>
      </c>
      <c r="D77" t="s">
        <v>169</v>
      </c>
      <c r="E77" s="2">
        <v>45858</v>
      </c>
    </row>
    <row r="78" spans="1:5" x14ac:dyDescent="0.25">
      <c r="A78" t="s">
        <v>89</v>
      </c>
      <c r="B78" t="s">
        <v>10</v>
      </c>
      <c r="C78" t="s">
        <v>15</v>
      </c>
      <c r="D78" t="s">
        <v>169</v>
      </c>
      <c r="E78" s="2">
        <v>45860</v>
      </c>
    </row>
    <row r="79" spans="1:5" x14ac:dyDescent="0.25">
      <c r="A79" t="s">
        <v>90</v>
      </c>
      <c r="B79" t="s">
        <v>10</v>
      </c>
      <c r="C79" t="s">
        <v>15</v>
      </c>
      <c r="D79" t="s">
        <v>169</v>
      </c>
      <c r="E79" s="2">
        <v>45863</v>
      </c>
    </row>
    <row r="80" spans="1:5" x14ac:dyDescent="0.25">
      <c r="A80" t="s">
        <v>91</v>
      </c>
      <c r="B80" t="s">
        <v>10</v>
      </c>
      <c r="C80" t="s">
        <v>15</v>
      </c>
      <c r="D80" t="s">
        <v>169</v>
      </c>
      <c r="E80" s="2">
        <v>45865</v>
      </c>
    </row>
    <row r="81" spans="1:5" x14ac:dyDescent="0.25">
      <c r="A81" t="s">
        <v>92</v>
      </c>
      <c r="B81" t="s">
        <v>10</v>
      </c>
      <c r="C81" t="s">
        <v>15</v>
      </c>
      <c r="D81" t="s">
        <v>169</v>
      </c>
      <c r="E81" s="2">
        <v>45868</v>
      </c>
    </row>
    <row r="82" spans="1:5" x14ac:dyDescent="0.25">
      <c r="A82" t="s">
        <v>93</v>
      </c>
      <c r="B82" t="s">
        <v>10</v>
      </c>
      <c r="C82" t="s">
        <v>15</v>
      </c>
      <c r="D82" t="s">
        <v>170</v>
      </c>
      <c r="E82" s="2">
        <v>45871</v>
      </c>
    </row>
    <row r="83" spans="1:5" x14ac:dyDescent="0.25">
      <c r="A83" t="s">
        <v>94</v>
      </c>
      <c r="B83" t="s">
        <v>10</v>
      </c>
      <c r="C83" t="s">
        <v>15</v>
      </c>
      <c r="D83" t="s">
        <v>170</v>
      </c>
      <c r="E83" s="2">
        <v>45874</v>
      </c>
    </row>
    <row r="84" spans="1:5" x14ac:dyDescent="0.25">
      <c r="A84" t="s">
        <v>95</v>
      </c>
      <c r="B84" t="s">
        <v>10</v>
      </c>
      <c r="C84" t="s">
        <v>15</v>
      </c>
      <c r="D84" t="s">
        <v>170</v>
      </c>
      <c r="E84" s="2">
        <v>45876</v>
      </c>
    </row>
    <row r="85" spans="1:5" x14ac:dyDescent="0.25">
      <c r="A85" t="s">
        <v>96</v>
      </c>
      <c r="B85" t="s">
        <v>10</v>
      </c>
      <c r="C85" t="s">
        <v>15</v>
      </c>
      <c r="D85" t="s">
        <v>170</v>
      </c>
      <c r="E85" s="2">
        <v>45879</v>
      </c>
    </row>
    <row r="86" spans="1:5" x14ac:dyDescent="0.25">
      <c r="A86" t="s">
        <v>97</v>
      </c>
      <c r="B86" t="s">
        <v>10</v>
      </c>
      <c r="C86" t="s">
        <v>15</v>
      </c>
      <c r="D86" t="s">
        <v>170</v>
      </c>
      <c r="E86" s="2">
        <v>45881</v>
      </c>
    </row>
    <row r="87" spans="1:5" x14ac:dyDescent="0.25">
      <c r="A87" t="s">
        <v>98</v>
      </c>
      <c r="B87" t="s">
        <v>10</v>
      </c>
      <c r="C87" t="s">
        <v>17</v>
      </c>
      <c r="D87" t="s">
        <v>170</v>
      </c>
      <c r="E87" s="2">
        <v>45884</v>
      </c>
    </row>
    <row r="88" spans="1:5" x14ac:dyDescent="0.25">
      <c r="A88" t="s">
        <v>99</v>
      </c>
      <c r="B88" t="s">
        <v>10</v>
      </c>
      <c r="C88" t="s">
        <v>17</v>
      </c>
      <c r="D88" t="s">
        <v>170</v>
      </c>
      <c r="E88" s="2">
        <v>45886</v>
      </c>
    </row>
    <row r="89" spans="1:5" x14ac:dyDescent="0.25">
      <c r="A89" t="s">
        <v>100</v>
      </c>
      <c r="B89" t="s">
        <v>10</v>
      </c>
      <c r="C89" t="s">
        <v>17</v>
      </c>
      <c r="D89" t="s">
        <v>170</v>
      </c>
      <c r="E89" s="2">
        <v>45889</v>
      </c>
    </row>
    <row r="90" spans="1:5" x14ac:dyDescent="0.25">
      <c r="A90" t="s">
        <v>101</v>
      </c>
      <c r="B90" t="s">
        <v>10</v>
      </c>
      <c r="C90" t="s">
        <v>17</v>
      </c>
      <c r="D90" t="s">
        <v>170</v>
      </c>
      <c r="E90" s="2">
        <v>45891</v>
      </c>
    </row>
    <row r="91" spans="1:5" x14ac:dyDescent="0.25">
      <c r="A91" t="s">
        <v>102</v>
      </c>
      <c r="B91" t="s">
        <v>10</v>
      </c>
      <c r="C91" t="s">
        <v>17</v>
      </c>
      <c r="D91" t="s">
        <v>170</v>
      </c>
      <c r="E91" s="2">
        <v>45894</v>
      </c>
    </row>
    <row r="92" spans="1:5" x14ac:dyDescent="0.25">
      <c r="A92" t="s">
        <v>103</v>
      </c>
      <c r="B92" t="s">
        <v>10</v>
      </c>
      <c r="C92" t="s">
        <v>17</v>
      </c>
      <c r="D92" t="s">
        <v>170</v>
      </c>
      <c r="E92" s="2">
        <v>45896</v>
      </c>
    </row>
    <row r="93" spans="1:5" x14ac:dyDescent="0.25">
      <c r="A93" t="s">
        <v>104</v>
      </c>
      <c r="B93" t="s">
        <v>10</v>
      </c>
      <c r="C93" t="s">
        <v>17</v>
      </c>
      <c r="D93" t="s">
        <v>170</v>
      </c>
      <c r="E93" s="2">
        <v>45899</v>
      </c>
    </row>
    <row r="94" spans="1:5" x14ac:dyDescent="0.25">
      <c r="A94" t="s">
        <v>105</v>
      </c>
      <c r="B94" t="s">
        <v>10</v>
      </c>
      <c r="C94" t="s">
        <v>17</v>
      </c>
      <c r="D94" t="s">
        <v>170</v>
      </c>
      <c r="E94" s="2">
        <v>45902</v>
      </c>
    </row>
    <row r="95" spans="1:5" x14ac:dyDescent="0.25">
      <c r="A95" t="s">
        <v>106</v>
      </c>
      <c r="B95" t="s">
        <v>10</v>
      </c>
      <c r="C95" t="s">
        <v>17</v>
      </c>
      <c r="D95" t="s">
        <v>170</v>
      </c>
      <c r="E95" s="2">
        <v>45905</v>
      </c>
    </row>
    <row r="96" spans="1:5" x14ac:dyDescent="0.25">
      <c r="A96" t="s">
        <v>107</v>
      </c>
      <c r="B96" t="s">
        <v>10</v>
      </c>
      <c r="C96" t="s">
        <v>17</v>
      </c>
      <c r="D96" t="s">
        <v>170</v>
      </c>
      <c r="E96" s="2">
        <v>45907</v>
      </c>
    </row>
    <row r="97" spans="1:5" x14ac:dyDescent="0.25">
      <c r="A97" t="s">
        <v>108</v>
      </c>
      <c r="B97" t="s">
        <v>10</v>
      </c>
      <c r="C97" t="s">
        <v>17</v>
      </c>
      <c r="D97" t="s">
        <v>170</v>
      </c>
      <c r="E97" s="2">
        <v>45910</v>
      </c>
    </row>
    <row r="98" spans="1:5" x14ac:dyDescent="0.25">
      <c r="A98" t="s">
        <v>109</v>
      </c>
      <c r="B98" t="s">
        <v>10</v>
      </c>
      <c r="C98" t="s">
        <v>17</v>
      </c>
      <c r="D98" t="s">
        <v>170</v>
      </c>
      <c r="E98" s="2">
        <v>45912</v>
      </c>
    </row>
    <row r="99" spans="1:5" x14ac:dyDescent="0.25">
      <c r="A99" t="s">
        <v>110</v>
      </c>
      <c r="B99" t="s">
        <v>10</v>
      </c>
      <c r="C99" t="s">
        <v>163</v>
      </c>
      <c r="D99" t="s">
        <v>170</v>
      </c>
      <c r="E99" s="2">
        <v>45915</v>
      </c>
    </row>
    <row r="100" spans="1:5" x14ac:dyDescent="0.25">
      <c r="A100" t="s">
        <v>111</v>
      </c>
      <c r="B100" t="s">
        <v>10</v>
      </c>
      <c r="C100" t="s">
        <v>163</v>
      </c>
      <c r="D100" t="s">
        <v>170</v>
      </c>
      <c r="E100" s="2">
        <v>45917</v>
      </c>
    </row>
    <row r="101" spans="1:5" x14ac:dyDescent="0.25">
      <c r="A101" t="s">
        <v>112</v>
      </c>
      <c r="B101" t="s">
        <v>10</v>
      </c>
      <c r="C101" t="s">
        <v>163</v>
      </c>
      <c r="D101" t="s">
        <v>170</v>
      </c>
      <c r="E101" s="2">
        <v>45920</v>
      </c>
    </row>
    <row r="102" spans="1:5" x14ac:dyDescent="0.25">
      <c r="A102" t="s">
        <v>113</v>
      </c>
      <c r="B102" t="s">
        <v>10</v>
      </c>
      <c r="C102" t="s">
        <v>163</v>
      </c>
      <c r="D102" t="s">
        <v>171</v>
      </c>
      <c r="E102" s="2">
        <v>45922</v>
      </c>
    </row>
    <row r="103" spans="1:5" x14ac:dyDescent="0.25">
      <c r="A103" t="s">
        <v>114</v>
      </c>
      <c r="B103" t="s">
        <v>10</v>
      </c>
      <c r="C103" t="s">
        <v>163</v>
      </c>
      <c r="D103" t="s">
        <v>171</v>
      </c>
      <c r="E103" s="2">
        <v>45925</v>
      </c>
    </row>
    <row r="104" spans="1:5" x14ac:dyDescent="0.25">
      <c r="A104" t="s">
        <v>115</v>
      </c>
      <c r="B104" t="s">
        <v>10</v>
      </c>
      <c r="C104" t="s">
        <v>163</v>
      </c>
      <c r="D104" t="s">
        <v>171</v>
      </c>
      <c r="E104" s="2">
        <v>45927</v>
      </c>
    </row>
    <row r="105" spans="1:5" x14ac:dyDescent="0.25">
      <c r="A105" t="s">
        <v>116</v>
      </c>
      <c r="B105" t="s">
        <v>10</v>
      </c>
      <c r="C105" t="s">
        <v>163</v>
      </c>
      <c r="D105" t="s">
        <v>171</v>
      </c>
      <c r="E105" s="2">
        <v>45930</v>
      </c>
    </row>
    <row r="106" spans="1:5" x14ac:dyDescent="0.25">
      <c r="A106" t="s">
        <v>117</v>
      </c>
      <c r="B106" t="s">
        <v>10</v>
      </c>
      <c r="C106" t="s">
        <v>163</v>
      </c>
      <c r="D106" t="s">
        <v>171</v>
      </c>
      <c r="E106" s="2">
        <v>45932</v>
      </c>
    </row>
    <row r="107" spans="1:5" x14ac:dyDescent="0.25">
      <c r="A107" t="s">
        <v>118</v>
      </c>
      <c r="B107" t="s">
        <v>10</v>
      </c>
      <c r="C107" t="s">
        <v>163</v>
      </c>
      <c r="D107" t="s">
        <v>171</v>
      </c>
      <c r="E107" s="2">
        <v>45935</v>
      </c>
    </row>
    <row r="108" spans="1:5" x14ac:dyDescent="0.25">
      <c r="A108" t="s">
        <v>119</v>
      </c>
      <c r="B108" t="s">
        <v>10</v>
      </c>
      <c r="C108" t="s">
        <v>163</v>
      </c>
      <c r="D108" t="s">
        <v>171</v>
      </c>
      <c r="E108" s="2">
        <v>45937</v>
      </c>
    </row>
    <row r="109" spans="1:5" x14ac:dyDescent="0.25">
      <c r="A109" t="s">
        <v>120</v>
      </c>
      <c r="B109" t="s">
        <v>10</v>
      </c>
      <c r="C109" t="s">
        <v>163</v>
      </c>
      <c r="D109" t="s">
        <v>171</v>
      </c>
      <c r="E109" s="2">
        <v>45940</v>
      </c>
    </row>
    <row r="110" spans="1:5" x14ac:dyDescent="0.25">
      <c r="A110" t="s">
        <v>121</v>
      </c>
      <c r="B110" t="s">
        <v>10</v>
      </c>
      <c r="C110" t="s">
        <v>163</v>
      </c>
      <c r="D110" t="s">
        <v>171</v>
      </c>
      <c r="E110" s="2">
        <v>45942</v>
      </c>
    </row>
    <row r="111" spans="1:5" x14ac:dyDescent="0.25">
      <c r="A111" t="s">
        <v>122</v>
      </c>
      <c r="B111" t="s">
        <v>10</v>
      </c>
      <c r="C111" t="s">
        <v>164</v>
      </c>
      <c r="D111" t="s">
        <v>171</v>
      </c>
      <c r="E111" s="2">
        <v>45945</v>
      </c>
    </row>
    <row r="112" spans="1:5" x14ac:dyDescent="0.25">
      <c r="A112" t="s">
        <v>123</v>
      </c>
      <c r="B112" t="s">
        <v>10</v>
      </c>
      <c r="C112" t="s">
        <v>164</v>
      </c>
      <c r="D112" t="s">
        <v>171</v>
      </c>
      <c r="E112" s="2">
        <v>45947</v>
      </c>
    </row>
    <row r="113" spans="1:5" x14ac:dyDescent="0.25">
      <c r="A113" t="s">
        <v>124</v>
      </c>
      <c r="B113" t="s">
        <v>10</v>
      </c>
      <c r="C113" t="s">
        <v>164</v>
      </c>
      <c r="D113" t="s">
        <v>171</v>
      </c>
      <c r="E113" s="2">
        <v>45950</v>
      </c>
    </row>
    <row r="114" spans="1:5" x14ac:dyDescent="0.25">
      <c r="A114" t="s">
        <v>125</v>
      </c>
      <c r="B114" t="s">
        <v>10</v>
      </c>
      <c r="C114" t="s">
        <v>164</v>
      </c>
      <c r="D114" t="s">
        <v>171</v>
      </c>
      <c r="E114" s="2">
        <v>45952</v>
      </c>
    </row>
    <row r="115" spans="1:5" x14ac:dyDescent="0.25">
      <c r="A115" t="s">
        <v>126</v>
      </c>
      <c r="B115" t="s">
        <v>10</v>
      </c>
      <c r="C115" t="s">
        <v>164</v>
      </c>
      <c r="D115" t="s">
        <v>171</v>
      </c>
      <c r="E115" s="2">
        <v>45955</v>
      </c>
    </row>
    <row r="116" spans="1:5" x14ac:dyDescent="0.25">
      <c r="A116" t="s">
        <v>127</v>
      </c>
      <c r="B116" t="s">
        <v>10</v>
      </c>
      <c r="C116" t="s">
        <v>164</v>
      </c>
      <c r="D116" t="s">
        <v>171</v>
      </c>
      <c r="E116" s="2">
        <v>45957</v>
      </c>
    </row>
    <row r="117" spans="1:5" x14ac:dyDescent="0.25">
      <c r="A117" t="s">
        <v>128</v>
      </c>
      <c r="B117" t="s">
        <v>10</v>
      </c>
      <c r="C117" t="s">
        <v>164</v>
      </c>
      <c r="D117" t="s">
        <v>171</v>
      </c>
      <c r="E117" s="2">
        <v>45960</v>
      </c>
    </row>
    <row r="118" spans="1:5" x14ac:dyDescent="0.25">
      <c r="A118" t="s">
        <v>129</v>
      </c>
      <c r="B118" t="s">
        <v>10</v>
      </c>
      <c r="C118" t="s">
        <v>164</v>
      </c>
      <c r="D118" t="s">
        <v>171</v>
      </c>
      <c r="E118" s="2">
        <v>45963</v>
      </c>
    </row>
    <row r="119" spans="1:5" x14ac:dyDescent="0.25">
      <c r="A119" t="s">
        <v>130</v>
      </c>
      <c r="B119" t="s">
        <v>10</v>
      </c>
      <c r="C119" t="s">
        <v>164</v>
      </c>
      <c r="D119" t="s">
        <v>171</v>
      </c>
      <c r="E119" s="2">
        <v>45966</v>
      </c>
    </row>
    <row r="120" spans="1:5" x14ac:dyDescent="0.25">
      <c r="A120" t="s">
        <v>131</v>
      </c>
      <c r="B120" t="s">
        <v>10</v>
      </c>
      <c r="C120" t="s">
        <v>164</v>
      </c>
      <c r="D120" t="s">
        <v>171</v>
      </c>
      <c r="E120" s="2">
        <v>45968</v>
      </c>
    </row>
    <row r="121" spans="1:5" x14ac:dyDescent="0.25">
      <c r="A121" t="s">
        <v>132</v>
      </c>
      <c r="B121" t="s">
        <v>10</v>
      </c>
      <c r="C121" t="s">
        <v>164</v>
      </c>
      <c r="D121" t="s">
        <v>171</v>
      </c>
      <c r="E121" s="2">
        <v>45971</v>
      </c>
    </row>
    <row r="122" spans="1:5" x14ac:dyDescent="0.25">
      <c r="A122" t="s">
        <v>133</v>
      </c>
      <c r="B122" t="s">
        <v>10</v>
      </c>
      <c r="C122" t="s">
        <v>164</v>
      </c>
      <c r="D122" t="s">
        <v>171</v>
      </c>
      <c r="E122" s="2">
        <v>45973</v>
      </c>
    </row>
    <row r="123" spans="1:5" x14ac:dyDescent="0.25">
      <c r="A123" t="s">
        <v>134</v>
      </c>
      <c r="B123" t="s">
        <v>10</v>
      </c>
      <c r="C123" t="s">
        <v>165</v>
      </c>
      <c r="D123" t="s">
        <v>171</v>
      </c>
      <c r="E123" s="2">
        <v>45976</v>
      </c>
    </row>
    <row r="124" spans="1:5" x14ac:dyDescent="0.25">
      <c r="A124" t="s">
        <v>135</v>
      </c>
      <c r="B124" t="s">
        <v>10</v>
      </c>
      <c r="C124" t="s">
        <v>165</v>
      </c>
      <c r="D124" t="s">
        <v>171</v>
      </c>
      <c r="E124" s="2">
        <v>45978</v>
      </c>
    </row>
    <row r="125" spans="1:5" x14ac:dyDescent="0.25">
      <c r="A125" t="s">
        <v>136</v>
      </c>
      <c r="B125" t="s">
        <v>10</v>
      </c>
      <c r="C125" t="s">
        <v>165</v>
      </c>
      <c r="D125" t="s">
        <v>171</v>
      </c>
      <c r="E125" s="2">
        <v>45981</v>
      </c>
    </row>
    <row r="126" spans="1:5" x14ac:dyDescent="0.25">
      <c r="A126" t="s">
        <v>137</v>
      </c>
      <c r="B126" t="s">
        <v>10</v>
      </c>
      <c r="C126" t="s">
        <v>165</v>
      </c>
      <c r="D126" t="s">
        <v>171</v>
      </c>
      <c r="E126" s="2">
        <v>45983</v>
      </c>
    </row>
    <row r="127" spans="1:5" x14ac:dyDescent="0.25">
      <c r="A127" t="s">
        <v>138</v>
      </c>
      <c r="B127" t="s">
        <v>13</v>
      </c>
      <c r="C127" t="s">
        <v>165</v>
      </c>
      <c r="D127" t="s">
        <v>172</v>
      </c>
      <c r="E127" s="2">
        <v>45986</v>
      </c>
    </row>
    <row r="128" spans="1:5" x14ac:dyDescent="0.25">
      <c r="A128" t="s">
        <v>139</v>
      </c>
      <c r="B128" t="s">
        <v>13</v>
      </c>
      <c r="C128" t="s">
        <v>165</v>
      </c>
      <c r="D128" t="s">
        <v>172</v>
      </c>
      <c r="E128" s="2">
        <v>45988</v>
      </c>
    </row>
    <row r="129" spans="1:5" x14ac:dyDescent="0.25">
      <c r="A129" t="s">
        <v>140</v>
      </c>
      <c r="B129" t="s">
        <v>13</v>
      </c>
      <c r="C129" t="s">
        <v>165</v>
      </c>
      <c r="D129" t="s">
        <v>172</v>
      </c>
      <c r="E129" s="2">
        <v>45991</v>
      </c>
    </row>
    <row r="130" spans="1:5" x14ac:dyDescent="0.25">
      <c r="A130" t="s">
        <v>141</v>
      </c>
      <c r="B130" t="s">
        <v>13</v>
      </c>
      <c r="C130" t="s">
        <v>165</v>
      </c>
      <c r="D130" t="s">
        <v>172</v>
      </c>
      <c r="E130" s="2">
        <v>45993</v>
      </c>
    </row>
    <row r="131" spans="1:5" x14ac:dyDescent="0.25">
      <c r="A131" t="s">
        <v>142</v>
      </c>
      <c r="B131" t="s">
        <v>13</v>
      </c>
      <c r="C131" t="s">
        <v>165</v>
      </c>
      <c r="D131" t="s">
        <v>172</v>
      </c>
      <c r="E131" s="2">
        <v>45935</v>
      </c>
    </row>
    <row r="132" spans="1:5" x14ac:dyDescent="0.25">
      <c r="A132" t="s">
        <v>143</v>
      </c>
      <c r="B132" t="s">
        <v>13</v>
      </c>
      <c r="C132" t="s">
        <v>165</v>
      </c>
      <c r="D132" t="s">
        <v>172</v>
      </c>
      <c r="E132" s="2">
        <v>45907</v>
      </c>
    </row>
    <row r="133" spans="1:5" x14ac:dyDescent="0.25">
      <c r="A133" t="s">
        <v>144</v>
      </c>
      <c r="B133" t="s">
        <v>13</v>
      </c>
      <c r="C133" t="s">
        <v>166</v>
      </c>
      <c r="D133" t="s">
        <v>172</v>
      </c>
      <c r="E133" s="2">
        <v>46001</v>
      </c>
    </row>
    <row r="134" spans="1:5" x14ac:dyDescent="0.25">
      <c r="A134" t="s">
        <v>145</v>
      </c>
      <c r="B134" t="s">
        <v>13</v>
      </c>
      <c r="C134" t="s">
        <v>166</v>
      </c>
      <c r="D134" t="s">
        <v>172</v>
      </c>
      <c r="E134" s="2">
        <v>46003</v>
      </c>
    </row>
    <row r="135" spans="1:5" x14ac:dyDescent="0.25">
      <c r="A135" t="s">
        <v>146</v>
      </c>
      <c r="B135" t="s">
        <v>13</v>
      </c>
      <c r="C135" t="s">
        <v>166</v>
      </c>
      <c r="D135" t="s">
        <v>172</v>
      </c>
      <c r="E135" s="2">
        <v>45915</v>
      </c>
    </row>
    <row r="136" spans="1:5" x14ac:dyDescent="0.25">
      <c r="A136" t="s">
        <v>147</v>
      </c>
      <c r="B136" t="s">
        <v>13</v>
      </c>
      <c r="C136" t="s">
        <v>166</v>
      </c>
      <c r="D136" t="s">
        <v>172</v>
      </c>
      <c r="E136" s="2">
        <v>45947</v>
      </c>
    </row>
    <row r="137" spans="1:5" x14ac:dyDescent="0.25">
      <c r="A137" t="s">
        <v>148</v>
      </c>
      <c r="B137" t="s">
        <v>13</v>
      </c>
      <c r="C137" t="s">
        <v>166</v>
      </c>
      <c r="D137" t="s">
        <v>172</v>
      </c>
      <c r="E137" s="2">
        <v>45950</v>
      </c>
    </row>
    <row r="138" spans="1:5" x14ac:dyDescent="0.25">
      <c r="A138" t="s">
        <v>149</v>
      </c>
      <c r="B138" t="s">
        <v>13</v>
      </c>
      <c r="C138" t="s">
        <v>166</v>
      </c>
      <c r="D138" t="s">
        <v>172</v>
      </c>
      <c r="E138" s="2">
        <v>46013</v>
      </c>
    </row>
    <row r="139" spans="1:5" x14ac:dyDescent="0.25">
      <c r="A139" t="s">
        <v>150</v>
      </c>
      <c r="B139" t="s">
        <v>13</v>
      </c>
      <c r="C139" t="s">
        <v>166</v>
      </c>
      <c r="D139" t="s">
        <v>172</v>
      </c>
      <c r="E139" s="2">
        <v>46016</v>
      </c>
    </row>
    <row r="140" spans="1:5" x14ac:dyDescent="0.25">
      <c r="A140" t="s">
        <v>151</v>
      </c>
      <c r="B140" t="s">
        <v>13</v>
      </c>
      <c r="C140" t="s">
        <v>166</v>
      </c>
      <c r="D140" t="s">
        <v>172</v>
      </c>
      <c r="E140" s="2">
        <v>46018</v>
      </c>
    </row>
    <row r="141" spans="1:5" x14ac:dyDescent="0.25">
      <c r="A141" t="s">
        <v>152</v>
      </c>
      <c r="B141" t="s">
        <v>13</v>
      </c>
      <c r="C141" t="s">
        <v>166</v>
      </c>
      <c r="D141" t="s">
        <v>172</v>
      </c>
      <c r="E141" s="2">
        <v>45838</v>
      </c>
    </row>
    <row r="142" spans="1:5" x14ac:dyDescent="0.25">
      <c r="A142" t="s">
        <v>153</v>
      </c>
      <c r="B142" t="s">
        <v>13</v>
      </c>
      <c r="C142" t="s">
        <v>166</v>
      </c>
      <c r="D142" t="s">
        <v>172</v>
      </c>
      <c r="E142" s="2">
        <v>45993</v>
      </c>
    </row>
    <row r="143" spans="1:5" x14ac:dyDescent="0.25">
      <c r="A143" t="s">
        <v>154</v>
      </c>
      <c r="B143" t="s">
        <v>13</v>
      </c>
      <c r="C143" t="s">
        <v>167</v>
      </c>
      <c r="D143" t="s">
        <v>172</v>
      </c>
      <c r="E143" s="2">
        <v>45996</v>
      </c>
    </row>
    <row r="144" spans="1:5" x14ac:dyDescent="0.25">
      <c r="A144" t="s">
        <v>155</v>
      </c>
      <c r="B144" t="s">
        <v>13</v>
      </c>
      <c r="C144" t="s">
        <v>167</v>
      </c>
      <c r="D144" t="s">
        <v>172</v>
      </c>
      <c r="E144" s="2">
        <v>45998</v>
      </c>
    </row>
    <row r="145" spans="1:5" x14ac:dyDescent="0.25">
      <c r="A145" t="s">
        <v>156</v>
      </c>
      <c r="B145" t="s">
        <v>13</v>
      </c>
      <c r="C145" t="s">
        <v>167</v>
      </c>
      <c r="D145" t="s">
        <v>172</v>
      </c>
      <c r="E145" s="2">
        <v>45848</v>
      </c>
    </row>
    <row r="146" spans="1:5" x14ac:dyDescent="0.25">
      <c r="A146" t="s">
        <v>157</v>
      </c>
      <c r="B146" t="s">
        <v>13</v>
      </c>
      <c r="C146" t="s">
        <v>167</v>
      </c>
      <c r="D146" t="s">
        <v>172</v>
      </c>
      <c r="E146" s="2">
        <v>45881</v>
      </c>
    </row>
    <row r="147" spans="1:5" x14ac:dyDescent="0.25">
      <c r="A147" t="s">
        <v>158</v>
      </c>
      <c r="B147" t="s">
        <v>13</v>
      </c>
      <c r="C147" t="s">
        <v>167</v>
      </c>
      <c r="D147" t="s">
        <v>172</v>
      </c>
      <c r="E147" s="2">
        <v>46006</v>
      </c>
    </row>
    <row r="148" spans="1:5" x14ac:dyDescent="0.25">
      <c r="A148" t="s">
        <v>159</v>
      </c>
      <c r="B148" t="s">
        <v>13</v>
      </c>
      <c r="C148" t="s">
        <v>167</v>
      </c>
      <c r="D148" t="s">
        <v>172</v>
      </c>
      <c r="E148" s="2">
        <v>46008</v>
      </c>
    </row>
    <row r="149" spans="1:5" x14ac:dyDescent="0.25">
      <c r="A149" t="s">
        <v>160</v>
      </c>
      <c r="B149" t="s">
        <v>13</v>
      </c>
      <c r="C149" t="s">
        <v>167</v>
      </c>
      <c r="D149" t="s">
        <v>172</v>
      </c>
      <c r="E149" s="2">
        <v>46011</v>
      </c>
    </row>
    <row r="150" spans="1:5" x14ac:dyDescent="0.25">
      <c r="A150" t="s">
        <v>161</v>
      </c>
      <c r="B150" t="s">
        <v>13</v>
      </c>
      <c r="C150" t="s">
        <v>167</v>
      </c>
      <c r="D150" t="s">
        <v>172</v>
      </c>
      <c r="E150" s="2">
        <v>46013</v>
      </c>
    </row>
    <row r="151" spans="1:5" x14ac:dyDescent="0.25">
      <c r="A151" t="s">
        <v>162</v>
      </c>
      <c r="B151" t="s">
        <v>13</v>
      </c>
      <c r="C151" t="s">
        <v>167</v>
      </c>
      <c r="D151" t="s">
        <v>172</v>
      </c>
      <c r="E151" s="2">
        <v>45986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0.7109375" bestFit="1" customWidth="1"/>
  </cols>
  <sheetData>
    <row r="3" spans="1:2" x14ac:dyDescent="0.25">
      <c r="A3" s="27" t="s">
        <v>201</v>
      </c>
      <c r="B3" t="s">
        <v>205</v>
      </c>
    </row>
    <row r="4" spans="1:2" x14ac:dyDescent="0.25">
      <c r="A4" s="28" t="s">
        <v>178</v>
      </c>
      <c r="B4" s="29">
        <v>3675</v>
      </c>
    </row>
    <row r="5" spans="1:2" x14ac:dyDescent="0.25">
      <c r="A5" s="28" t="s">
        <v>13</v>
      </c>
      <c r="B5" s="29">
        <v>12475</v>
      </c>
    </row>
    <row r="6" spans="1:2" x14ac:dyDescent="0.25">
      <c r="A6" s="28" t="s">
        <v>179</v>
      </c>
      <c r="B6" s="29">
        <v>7450</v>
      </c>
    </row>
    <row r="7" spans="1:2" x14ac:dyDescent="0.25">
      <c r="A7" s="28" t="s">
        <v>202</v>
      </c>
      <c r="B7" s="29">
        <v>23600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G19" sqref="G19"/>
    </sheetView>
  </sheetViews>
  <sheetFormatPr defaultRowHeight="15" x14ac:dyDescent="0.25"/>
  <cols>
    <col min="1" max="1" width="13.140625" bestFit="1" customWidth="1"/>
    <col min="2" max="2" width="20.28515625" bestFit="1" customWidth="1"/>
  </cols>
  <sheetData>
    <row r="3" spans="1:2" x14ac:dyDescent="0.25">
      <c r="A3" s="27" t="s">
        <v>201</v>
      </c>
      <c r="B3" t="s">
        <v>206</v>
      </c>
    </row>
    <row r="4" spans="1:2" x14ac:dyDescent="0.25">
      <c r="A4" s="28" t="s">
        <v>181</v>
      </c>
      <c r="B4" s="29">
        <v>120</v>
      </c>
    </row>
    <row r="5" spans="1:2" x14ac:dyDescent="0.25">
      <c r="A5" s="28" t="s">
        <v>180</v>
      </c>
      <c r="B5" s="29">
        <v>30</v>
      </c>
    </row>
    <row r="6" spans="1:2" x14ac:dyDescent="0.25">
      <c r="A6" s="28" t="s">
        <v>202</v>
      </c>
      <c r="B6" s="29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workbookViewId="0">
      <selection sqref="A1:F151"/>
    </sheetView>
  </sheetViews>
  <sheetFormatPr defaultRowHeight="15" x14ac:dyDescent="0.25"/>
  <cols>
    <col min="1" max="1" width="17" customWidth="1"/>
    <col min="2" max="2" width="16.140625" customWidth="1"/>
    <col min="3" max="3" width="25.140625" customWidth="1"/>
    <col min="4" max="4" width="17.85546875" customWidth="1"/>
    <col min="5" max="5" width="18.85546875" customWidth="1"/>
    <col min="6" max="6" width="18.28515625" customWidth="1"/>
  </cols>
  <sheetData>
    <row r="1" spans="1:6" ht="17.25" customHeight="1" x14ac:dyDescent="0.25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5</v>
      </c>
      <c r="B2" t="s">
        <v>178</v>
      </c>
      <c r="C2">
        <v>49</v>
      </c>
      <c r="D2" t="s">
        <v>181</v>
      </c>
      <c r="E2" s="2">
        <f>Customers!E2</f>
        <v>45660</v>
      </c>
    </row>
    <row r="3" spans="1:6" x14ac:dyDescent="0.25">
      <c r="A3" t="s">
        <v>8</v>
      </c>
      <c r="B3" t="s">
        <v>178</v>
      </c>
      <c r="C3">
        <v>49</v>
      </c>
      <c r="D3" t="s">
        <v>181</v>
      </c>
      <c r="E3" s="2">
        <f>Customers!E3</f>
        <v>45662</v>
      </c>
    </row>
    <row r="4" spans="1:6" x14ac:dyDescent="0.25">
      <c r="A4" t="s">
        <v>9</v>
      </c>
      <c r="B4" t="s">
        <v>178</v>
      </c>
      <c r="C4">
        <v>49</v>
      </c>
      <c r="D4" t="s">
        <v>181</v>
      </c>
      <c r="E4" s="2">
        <f>Customers!E4</f>
        <v>45664</v>
      </c>
    </row>
    <row r="5" spans="1:6" x14ac:dyDescent="0.25">
      <c r="A5" t="s">
        <v>12</v>
      </c>
      <c r="B5" t="s">
        <v>178</v>
      </c>
      <c r="C5">
        <v>49</v>
      </c>
      <c r="D5" t="s">
        <v>181</v>
      </c>
      <c r="E5" s="2">
        <f>Customers!E5</f>
        <v>45667</v>
      </c>
    </row>
    <row r="6" spans="1:6" x14ac:dyDescent="0.25">
      <c r="A6" t="s">
        <v>14</v>
      </c>
      <c r="B6" t="s">
        <v>178</v>
      </c>
      <c r="C6">
        <v>49</v>
      </c>
      <c r="D6" t="s">
        <v>180</v>
      </c>
      <c r="E6" s="2">
        <f>Customers!E6</f>
        <v>45669</v>
      </c>
      <c r="F6" s="2">
        <v>45759</v>
      </c>
    </row>
    <row r="7" spans="1:6" x14ac:dyDescent="0.25">
      <c r="A7" t="s">
        <v>16</v>
      </c>
      <c r="B7" t="s">
        <v>178</v>
      </c>
      <c r="C7">
        <v>49</v>
      </c>
      <c r="D7" t="s">
        <v>181</v>
      </c>
      <c r="E7" s="2">
        <f>Customers!E7</f>
        <v>45672</v>
      </c>
    </row>
    <row r="8" spans="1:6" x14ac:dyDescent="0.25">
      <c r="A8" t="s">
        <v>18</v>
      </c>
      <c r="B8" t="s">
        <v>178</v>
      </c>
      <c r="C8">
        <v>49</v>
      </c>
      <c r="D8" t="s">
        <v>181</v>
      </c>
      <c r="E8" s="2">
        <f>Customers!E8</f>
        <v>45675</v>
      </c>
    </row>
    <row r="9" spans="1:6" x14ac:dyDescent="0.25">
      <c r="A9" t="s">
        <v>19</v>
      </c>
      <c r="B9" t="s">
        <v>178</v>
      </c>
      <c r="C9">
        <v>49</v>
      </c>
      <c r="D9" t="s">
        <v>181</v>
      </c>
      <c r="E9" s="2">
        <f>Customers!E9</f>
        <v>45679</v>
      </c>
    </row>
    <row r="10" spans="1:6" x14ac:dyDescent="0.25">
      <c r="A10" t="s">
        <v>20</v>
      </c>
      <c r="B10" t="s">
        <v>178</v>
      </c>
      <c r="C10">
        <v>49</v>
      </c>
      <c r="D10" t="s">
        <v>181</v>
      </c>
      <c r="E10" s="2">
        <f>Customers!E10</f>
        <v>45682</v>
      </c>
    </row>
    <row r="11" spans="1:6" x14ac:dyDescent="0.25">
      <c r="A11" t="s">
        <v>21</v>
      </c>
      <c r="B11" t="s">
        <v>178</v>
      </c>
      <c r="C11">
        <v>49</v>
      </c>
      <c r="D11" t="s">
        <v>180</v>
      </c>
      <c r="E11" s="2">
        <f>Customers!E11</f>
        <v>45685</v>
      </c>
      <c r="F11" s="2">
        <v>45774</v>
      </c>
    </row>
    <row r="12" spans="1:6" x14ac:dyDescent="0.25">
      <c r="A12" t="s">
        <v>23</v>
      </c>
      <c r="B12" t="s">
        <v>178</v>
      </c>
      <c r="C12">
        <v>49</v>
      </c>
      <c r="D12" t="s">
        <v>181</v>
      </c>
      <c r="E12" s="2">
        <f>Customers!E12</f>
        <v>45690</v>
      </c>
    </row>
    <row r="13" spans="1:6" x14ac:dyDescent="0.25">
      <c r="A13" t="s">
        <v>24</v>
      </c>
      <c r="B13" t="s">
        <v>178</v>
      </c>
      <c r="C13">
        <v>49</v>
      </c>
      <c r="D13" t="s">
        <v>181</v>
      </c>
      <c r="E13" s="2">
        <f>Customers!E13</f>
        <v>45693</v>
      </c>
    </row>
    <row r="14" spans="1:6" x14ac:dyDescent="0.25">
      <c r="A14" t="s">
        <v>25</v>
      </c>
      <c r="B14" t="s">
        <v>178</v>
      </c>
      <c r="C14">
        <v>49</v>
      </c>
      <c r="D14" t="s">
        <v>181</v>
      </c>
      <c r="E14" s="2">
        <f>Customers!E14</f>
        <v>45696</v>
      </c>
    </row>
    <row r="15" spans="1:6" x14ac:dyDescent="0.25">
      <c r="A15" t="s">
        <v>26</v>
      </c>
      <c r="B15" t="s">
        <v>178</v>
      </c>
      <c r="C15">
        <v>49</v>
      </c>
      <c r="D15" t="s">
        <v>181</v>
      </c>
      <c r="E15" s="2">
        <f>Customers!E15</f>
        <v>45698</v>
      </c>
    </row>
    <row r="16" spans="1:6" x14ac:dyDescent="0.25">
      <c r="A16" t="s">
        <v>27</v>
      </c>
      <c r="B16" t="s">
        <v>178</v>
      </c>
      <c r="C16">
        <v>49</v>
      </c>
      <c r="D16" t="s">
        <v>180</v>
      </c>
      <c r="E16" s="2">
        <f>Customers!E16</f>
        <v>45701</v>
      </c>
      <c r="F16" s="2">
        <v>45780</v>
      </c>
    </row>
    <row r="17" spans="1:6" x14ac:dyDescent="0.25">
      <c r="A17" t="s">
        <v>28</v>
      </c>
      <c r="B17" t="s">
        <v>178</v>
      </c>
      <c r="C17">
        <v>49</v>
      </c>
      <c r="D17" t="s">
        <v>181</v>
      </c>
      <c r="E17" s="2">
        <f>Customers!E17</f>
        <v>45704</v>
      </c>
    </row>
    <row r="18" spans="1:6" x14ac:dyDescent="0.25">
      <c r="A18" t="s">
        <v>29</v>
      </c>
      <c r="B18" t="s">
        <v>178</v>
      </c>
      <c r="C18">
        <v>49</v>
      </c>
      <c r="D18" t="s">
        <v>181</v>
      </c>
      <c r="E18" s="2">
        <f>Customers!E18</f>
        <v>45706</v>
      </c>
    </row>
    <row r="19" spans="1:6" x14ac:dyDescent="0.25">
      <c r="A19" t="s">
        <v>30</v>
      </c>
      <c r="B19" t="s">
        <v>178</v>
      </c>
      <c r="C19">
        <v>49</v>
      </c>
      <c r="D19" t="s">
        <v>181</v>
      </c>
      <c r="E19" s="2">
        <f>Customers!E19</f>
        <v>45709</v>
      </c>
    </row>
    <row r="20" spans="1:6" x14ac:dyDescent="0.25">
      <c r="A20" t="s">
        <v>31</v>
      </c>
      <c r="B20" t="s">
        <v>178</v>
      </c>
      <c r="C20">
        <v>49</v>
      </c>
      <c r="D20" t="s">
        <v>181</v>
      </c>
      <c r="E20" s="2">
        <f>Customers!E20</f>
        <v>45712</v>
      </c>
    </row>
    <row r="21" spans="1:6" x14ac:dyDescent="0.25">
      <c r="A21" t="s">
        <v>32</v>
      </c>
      <c r="B21" t="s">
        <v>178</v>
      </c>
      <c r="C21">
        <v>49</v>
      </c>
      <c r="D21" t="s">
        <v>180</v>
      </c>
      <c r="E21" s="2">
        <f>Customers!E21</f>
        <v>45715</v>
      </c>
      <c r="F21" s="2">
        <v>45795</v>
      </c>
    </row>
    <row r="22" spans="1:6" x14ac:dyDescent="0.25">
      <c r="A22" t="s">
        <v>33</v>
      </c>
      <c r="B22" t="s">
        <v>178</v>
      </c>
      <c r="C22">
        <v>49</v>
      </c>
      <c r="D22" t="s">
        <v>181</v>
      </c>
      <c r="E22" s="2">
        <f>Customers!E22</f>
        <v>45718</v>
      </c>
    </row>
    <row r="23" spans="1:6" x14ac:dyDescent="0.25">
      <c r="A23" t="s">
        <v>34</v>
      </c>
      <c r="B23" t="s">
        <v>178</v>
      </c>
      <c r="C23">
        <v>49</v>
      </c>
      <c r="D23" t="s">
        <v>181</v>
      </c>
      <c r="E23" s="2">
        <f>Customers!E23</f>
        <v>45720</v>
      </c>
    </row>
    <row r="24" spans="1:6" x14ac:dyDescent="0.25">
      <c r="A24" t="s">
        <v>35</v>
      </c>
      <c r="B24" t="s">
        <v>178</v>
      </c>
      <c r="C24">
        <v>49</v>
      </c>
      <c r="D24" t="s">
        <v>181</v>
      </c>
      <c r="E24" s="2">
        <f>Customers!E24</f>
        <v>45722</v>
      </c>
    </row>
    <row r="25" spans="1:6" x14ac:dyDescent="0.25">
      <c r="A25" t="s">
        <v>36</v>
      </c>
      <c r="B25" t="s">
        <v>178</v>
      </c>
      <c r="C25">
        <v>49</v>
      </c>
      <c r="D25" t="s">
        <v>181</v>
      </c>
      <c r="E25" s="2">
        <f>Customers!E25</f>
        <v>45724</v>
      </c>
    </row>
    <row r="26" spans="1:6" x14ac:dyDescent="0.25">
      <c r="A26" t="s">
        <v>37</v>
      </c>
      <c r="B26" t="s">
        <v>178</v>
      </c>
      <c r="C26">
        <v>49</v>
      </c>
      <c r="D26" t="s">
        <v>180</v>
      </c>
      <c r="E26" s="2">
        <f>Customers!E26</f>
        <v>45726</v>
      </c>
      <c r="F26" s="2">
        <v>45795</v>
      </c>
    </row>
    <row r="27" spans="1:6" x14ac:dyDescent="0.25">
      <c r="A27" t="s">
        <v>38</v>
      </c>
      <c r="B27" t="s">
        <v>178</v>
      </c>
      <c r="C27">
        <v>49</v>
      </c>
      <c r="D27" t="s">
        <v>181</v>
      </c>
      <c r="E27" s="2">
        <f>Customers!E27</f>
        <v>45728</v>
      </c>
    </row>
    <row r="28" spans="1:6" x14ac:dyDescent="0.25">
      <c r="A28" t="s">
        <v>39</v>
      </c>
      <c r="B28" t="s">
        <v>178</v>
      </c>
      <c r="C28">
        <v>49</v>
      </c>
      <c r="D28" t="s">
        <v>181</v>
      </c>
      <c r="E28" s="2">
        <f>Customers!E28</f>
        <v>45730</v>
      </c>
    </row>
    <row r="29" spans="1:6" x14ac:dyDescent="0.25">
      <c r="A29" t="s">
        <v>40</v>
      </c>
      <c r="B29" t="s">
        <v>178</v>
      </c>
      <c r="C29">
        <v>49</v>
      </c>
      <c r="D29" t="s">
        <v>181</v>
      </c>
      <c r="E29" s="2">
        <f>Customers!E29</f>
        <v>45732</v>
      </c>
    </row>
    <row r="30" spans="1:6" x14ac:dyDescent="0.25">
      <c r="A30" t="s">
        <v>41</v>
      </c>
      <c r="B30" t="s">
        <v>178</v>
      </c>
      <c r="C30">
        <v>49</v>
      </c>
      <c r="D30" t="s">
        <v>181</v>
      </c>
      <c r="E30" s="2">
        <f>Customers!E30</f>
        <v>45734</v>
      </c>
    </row>
    <row r="31" spans="1:6" x14ac:dyDescent="0.25">
      <c r="A31" t="s">
        <v>42</v>
      </c>
      <c r="B31" t="s">
        <v>178</v>
      </c>
      <c r="C31">
        <v>49</v>
      </c>
      <c r="D31" t="s">
        <v>180</v>
      </c>
      <c r="E31" s="2">
        <f>Customers!E31</f>
        <v>45736</v>
      </c>
      <c r="F31" s="2">
        <v>45806</v>
      </c>
    </row>
    <row r="32" spans="1:6" x14ac:dyDescent="0.25">
      <c r="A32" t="s">
        <v>43</v>
      </c>
      <c r="B32" t="s">
        <v>178</v>
      </c>
      <c r="C32">
        <v>49</v>
      </c>
      <c r="D32" t="s">
        <v>181</v>
      </c>
      <c r="E32" s="2">
        <f>Customers!E32</f>
        <v>45740</v>
      </c>
    </row>
    <row r="33" spans="1:6" x14ac:dyDescent="0.25">
      <c r="A33" t="s">
        <v>44</v>
      </c>
      <c r="B33" t="s">
        <v>178</v>
      </c>
      <c r="C33">
        <v>49</v>
      </c>
      <c r="D33" t="s">
        <v>181</v>
      </c>
      <c r="E33" s="2">
        <f>Customers!E33</f>
        <v>45744</v>
      </c>
    </row>
    <row r="34" spans="1:6" x14ac:dyDescent="0.25">
      <c r="A34" t="s">
        <v>45</v>
      </c>
      <c r="B34" t="s">
        <v>178</v>
      </c>
      <c r="C34">
        <v>49</v>
      </c>
      <c r="D34" t="s">
        <v>181</v>
      </c>
      <c r="E34" s="2">
        <f>Customers!E34</f>
        <v>45749</v>
      </c>
    </row>
    <row r="35" spans="1:6" x14ac:dyDescent="0.25">
      <c r="A35" t="s">
        <v>46</v>
      </c>
      <c r="B35" t="s">
        <v>178</v>
      </c>
      <c r="C35">
        <v>49</v>
      </c>
      <c r="D35" t="s">
        <v>181</v>
      </c>
      <c r="E35" s="2">
        <f>Customers!E35</f>
        <v>45751</v>
      </c>
    </row>
    <row r="36" spans="1:6" x14ac:dyDescent="0.25">
      <c r="A36" t="s">
        <v>47</v>
      </c>
      <c r="B36" t="s">
        <v>178</v>
      </c>
      <c r="C36">
        <v>49</v>
      </c>
      <c r="D36" t="s">
        <v>180</v>
      </c>
      <c r="E36" s="2">
        <f>Customers!E36</f>
        <v>45753</v>
      </c>
      <c r="F36" s="2">
        <v>45815</v>
      </c>
    </row>
    <row r="37" spans="1:6" x14ac:dyDescent="0.25">
      <c r="A37" t="s">
        <v>48</v>
      </c>
      <c r="B37" t="s">
        <v>178</v>
      </c>
      <c r="C37">
        <v>49</v>
      </c>
      <c r="D37" t="s">
        <v>181</v>
      </c>
      <c r="E37" s="2">
        <f>Customers!E37</f>
        <v>45755</v>
      </c>
    </row>
    <row r="38" spans="1:6" x14ac:dyDescent="0.25">
      <c r="A38" t="s">
        <v>49</v>
      </c>
      <c r="B38" t="s">
        <v>178</v>
      </c>
      <c r="C38">
        <v>49</v>
      </c>
      <c r="D38" t="s">
        <v>181</v>
      </c>
      <c r="E38" s="2">
        <f>Customers!E38</f>
        <v>45757</v>
      </c>
    </row>
    <row r="39" spans="1:6" x14ac:dyDescent="0.25">
      <c r="A39" t="s">
        <v>50</v>
      </c>
      <c r="B39" t="s">
        <v>178</v>
      </c>
      <c r="C39">
        <v>49</v>
      </c>
      <c r="D39" t="s">
        <v>181</v>
      </c>
      <c r="E39" s="2">
        <f>Customers!E39</f>
        <v>45759</v>
      </c>
    </row>
    <row r="40" spans="1:6" x14ac:dyDescent="0.25">
      <c r="A40" t="s">
        <v>51</v>
      </c>
      <c r="B40" t="s">
        <v>178</v>
      </c>
      <c r="C40">
        <v>49</v>
      </c>
      <c r="D40" t="s">
        <v>181</v>
      </c>
      <c r="E40" s="2">
        <f>Customers!E40</f>
        <v>45761</v>
      </c>
    </row>
    <row r="41" spans="1:6" x14ac:dyDescent="0.25">
      <c r="A41" t="s">
        <v>52</v>
      </c>
      <c r="B41" t="s">
        <v>178</v>
      </c>
      <c r="C41">
        <v>49</v>
      </c>
      <c r="D41" t="s">
        <v>180</v>
      </c>
      <c r="E41" s="2">
        <f>Customers!E41</f>
        <v>45763</v>
      </c>
      <c r="F41" s="2">
        <v>45823</v>
      </c>
    </row>
    <row r="42" spans="1:6" x14ac:dyDescent="0.25">
      <c r="A42" t="s">
        <v>53</v>
      </c>
      <c r="B42" t="s">
        <v>178</v>
      </c>
      <c r="C42">
        <v>49</v>
      </c>
      <c r="D42" t="s">
        <v>181</v>
      </c>
      <c r="E42" s="2">
        <f>Customers!E42</f>
        <v>45765</v>
      </c>
    </row>
    <row r="43" spans="1:6" x14ac:dyDescent="0.25">
      <c r="A43" t="s">
        <v>54</v>
      </c>
      <c r="B43" t="s">
        <v>178</v>
      </c>
      <c r="C43">
        <v>49</v>
      </c>
      <c r="D43" t="s">
        <v>181</v>
      </c>
      <c r="E43" s="2">
        <f>Customers!E43</f>
        <v>45767</v>
      </c>
    </row>
    <row r="44" spans="1:6" x14ac:dyDescent="0.25">
      <c r="A44" t="s">
        <v>55</v>
      </c>
      <c r="B44" t="s">
        <v>178</v>
      </c>
      <c r="C44">
        <v>49</v>
      </c>
      <c r="D44" t="s">
        <v>181</v>
      </c>
      <c r="E44" s="2">
        <f>Customers!E44</f>
        <v>45771</v>
      </c>
    </row>
    <row r="45" spans="1:6" x14ac:dyDescent="0.25">
      <c r="A45" t="s">
        <v>56</v>
      </c>
      <c r="B45" t="s">
        <v>178</v>
      </c>
      <c r="C45">
        <v>49</v>
      </c>
      <c r="D45" t="s">
        <v>181</v>
      </c>
      <c r="E45" s="2">
        <f>Customers!E45</f>
        <v>45775</v>
      </c>
    </row>
    <row r="46" spans="1:6" x14ac:dyDescent="0.25">
      <c r="A46" t="s">
        <v>57</v>
      </c>
      <c r="B46" t="s">
        <v>178</v>
      </c>
      <c r="C46">
        <v>49</v>
      </c>
      <c r="D46" t="s">
        <v>180</v>
      </c>
      <c r="E46" s="2">
        <f>Customers!E46</f>
        <v>45779</v>
      </c>
      <c r="F46" s="2">
        <v>45836</v>
      </c>
    </row>
    <row r="47" spans="1:6" x14ac:dyDescent="0.25">
      <c r="A47" t="s">
        <v>58</v>
      </c>
      <c r="B47" t="s">
        <v>178</v>
      </c>
      <c r="C47">
        <v>49</v>
      </c>
      <c r="D47" t="s">
        <v>181</v>
      </c>
      <c r="E47" s="2">
        <f>Customers!E47</f>
        <v>45781</v>
      </c>
    </row>
    <row r="48" spans="1:6" x14ac:dyDescent="0.25">
      <c r="A48" t="s">
        <v>59</v>
      </c>
      <c r="B48" t="s">
        <v>178</v>
      </c>
      <c r="C48">
        <v>49</v>
      </c>
      <c r="D48" t="s">
        <v>181</v>
      </c>
      <c r="E48" s="2">
        <f>Customers!E48</f>
        <v>45783</v>
      </c>
    </row>
    <row r="49" spans="1:6" x14ac:dyDescent="0.25">
      <c r="A49" t="s">
        <v>60</v>
      </c>
      <c r="B49" t="s">
        <v>178</v>
      </c>
      <c r="C49">
        <v>49</v>
      </c>
      <c r="D49" t="s">
        <v>181</v>
      </c>
      <c r="E49" s="2">
        <f>Customers!E49</f>
        <v>45786</v>
      </c>
    </row>
    <row r="50" spans="1:6" x14ac:dyDescent="0.25">
      <c r="A50" t="s">
        <v>61</v>
      </c>
      <c r="B50" t="s">
        <v>178</v>
      </c>
      <c r="C50">
        <v>49</v>
      </c>
      <c r="D50" t="s">
        <v>181</v>
      </c>
      <c r="E50" s="2">
        <f>Customers!E50</f>
        <v>45788</v>
      </c>
    </row>
    <row r="51" spans="1:6" x14ac:dyDescent="0.25">
      <c r="A51" t="s">
        <v>62</v>
      </c>
      <c r="B51" t="s">
        <v>178</v>
      </c>
      <c r="C51">
        <v>49</v>
      </c>
      <c r="D51" t="s">
        <v>180</v>
      </c>
      <c r="E51" s="2">
        <f>Customers!E51</f>
        <v>45791</v>
      </c>
      <c r="F51" s="2">
        <v>45842</v>
      </c>
    </row>
    <row r="52" spans="1:6" x14ac:dyDescent="0.25">
      <c r="A52" t="s">
        <v>63</v>
      </c>
      <c r="B52" t="s">
        <v>178</v>
      </c>
      <c r="C52">
        <v>49</v>
      </c>
      <c r="D52" t="s">
        <v>181</v>
      </c>
      <c r="E52" s="2">
        <f>Customers!E52</f>
        <v>45793</v>
      </c>
    </row>
    <row r="53" spans="1:6" x14ac:dyDescent="0.25">
      <c r="A53" t="s">
        <v>64</v>
      </c>
      <c r="B53" t="s">
        <v>178</v>
      </c>
      <c r="C53">
        <v>49</v>
      </c>
      <c r="D53" t="s">
        <v>181</v>
      </c>
      <c r="E53" s="2">
        <f>Customers!E53</f>
        <v>45795</v>
      </c>
    </row>
    <row r="54" spans="1:6" x14ac:dyDescent="0.25">
      <c r="A54" t="s">
        <v>65</v>
      </c>
      <c r="B54" t="s">
        <v>178</v>
      </c>
      <c r="C54">
        <v>49</v>
      </c>
      <c r="D54" t="s">
        <v>181</v>
      </c>
      <c r="E54" s="2">
        <f>Customers!E54</f>
        <v>45798</v>
      </c>
    </row>
    <row r="55" spans="1:6" x14ac:dyDescent="0.25">
      <c r="A55" t="s">
        <v>66</v>
      </c>
      <c r="B55" t="s">
        <v>178</v>
      </c>
      <c r="C55">
        <v>49</v>
      </c>
      <c r="D55" t="s">
        <v>181</v>
      </c>
      <c r="E55" s="2">
        <f>Customers!E55</f>
        <v>45801</v>
      </c>
    </row>
    <row r="56" spans="1:6" x14ac:dyDescent="0.25">
      <c r="A56" t="s">
        <v>67</v>
      </c>
      <c r="B56" t="s">
        <v>178</v>
      </c>
      <c r="C56">
        <v>49</v>
      </c>
      <c r="D56" t="s">
        <v>180</v>
      </c>
      <c r="E56" s="2">
        <f>Customers!E56</f>
        <v>45804</v>
      </c>
      <c r="F56" s="2">
        <v>45854</v>
      </c>
    </row>
    <row r="57" spans="1:6" x14ac:dyDescent="0.25">
      <c r="A57" t="s">
        <v>68</v>
      </c>
      <c r="B57" t="s">
        <v>178</v>
      </c>
      <c r="C57">
        <v>49</v>
      </c>
      <c r="D57" t="s">
        <v>181</v>
      </c>
      <c r="E57" s="2">
        <f>Customers!E57</f>
        <v>45807</v>
      </c>
    </row>
    <row r="58" spans="1:6" x14ac:dyDescent="0.25">
      <c r="A58" t="s">
        <v>69</v>
      </c>
      <c r="B58" t="s">
        <v>178</v>
      </c>
      <c r="C58">
        <v>49</v>
      </c>
      <c r="D58" t="s">
        <v>181</v>
      </c>
      <c r="E58" s="2">
        <f>Customers!E58</f>
        <v>45810</v>
      </c>
    </row>
    <row r="59" spans="1:6" x14ac:dyDescent="0.25">
      <c r="A59" t="s">
        <v>70</v>
      </c>
      <c r="B59" t="s">
        <v>178</v>
      </c>
      <c r="C59">
        <v>49</v>
      </c>
      <c r="D59" t="s">
        <v>181</v>
      </c>
      <c r="E59" s="2">
        <f>Customers!E59</f>
        <v>45812</v>
      </c>
    </row>
    <row r="60" spans="1:6" x14ac:dyDescent="0.25">
      <c r="A60" t="s">
        <v>71</v>
      </c>
      <c r="B60" t="s">
        <v>178</v>
      </c>
      <c r="C60">
        <v>49</v>
      </c>
      <c r="D60" t="s">
        <v>181</v>
      </c>
      <c r="E60" s="2">
        <f>Customers!E60</f>
        <v>45815</v>
      </c>
    </row>
    <row r="61" spans="1:6" x14ac:dyDescent="0.25">
      <c r="A61" t="s">
        <v>72</v>
      </c>
      <c r="B61" t="s">
        <v>178</v>
      </c>
      <c r="C61">
        <v>49</v>
      </c>
      <c r="D61" t="s">
        <v>180</v>
      </c>
      <c r="E61" s="2">
        <f>Customers!E61</f>
        <v>45817</v>
      </c>
      <c r="F61" s="2">
        <v>45863</v>
      </c>
    </row>
    <row r="62" spans="1:6" x14ac:dyDescent="0.25">
      <c r="A62" t="s">
        <v>73</v>
      </c>
      <c r="B62" t="s">
        <v>178</v>
      </c>
      <c r="C62">
        <v>49</v>
      </c>
      <c r="D62" t="s">
        <v>181</v>
      </c>
      <c r="E62" s="2">
        <f>Customers!E62</f>
        <v>45820</v>
      </c>
    </row>
    <row r="63" spans="1:6" x14ac:dyDescent="0.25">
      <c r="A63" t="s">
        <v>74</v>
      </c>
      <c r="B63" t="s">
        <v>178</v>
      </c>
      <c r="C63">
        <v>49</v>
      </c>
      <c r="D63" t="s">
        <v>181</v>
      </c>
      <c r="E63" s="2">
        <f>Customers!E63</f>
        <v>45822</v>
      </c>
    </row>
    <row r="64" spans="1:6" x14ac:dyDescent="0.25">
      <c r="A64" t="s">
        <v>75</v>
      </c>
      <c r="B64" t="s">
        <v>178</v>
      </c>
      <c r="C64">
        <v>49</v>
      </c>
      <c r="D64" t="s">
        <v>181</v>
      </c>
      <c r="E64" s="2">
        <f>Customers!E64</f>
        <v>45825</v>
      </c>
    </row>
    <row r="65" spans="1:6" x14ac:dyDescent="0.25">
      <c r="A65" t="s">
        <v>76</v>
      </c>
      <c r="B65" t="s">
        <v>178</v>
      </c>
      <c r="C65">
        <v>49</v>
      </c>
      <c r="D65" t="s">
        <v>180</v>
      </c>
      <c r="E65" s="2">
        <f>Customers!E65</f>
        <v>45827</v>
      </c>
      <c r="F65" s="2">
        <v>45871</v>
      </c>
    </row>
    <row r="66" spans="1:6" x14ac:dyDescent="0.25">
      <c r="A66" t="s">
        <v>77</v>
      </c>
      <c r="B66" t="s">
        <v>178</v>
      </c>
      <c r="C66">
        <v>49</v>
      </c>
      <c r="D66" t="s">
        <v>181</v>
      </c>
      <c r="E66" s="2">
        <f>Customers!E66</f>
        <v>45830</v>
      </c>
    </row>
    <row r="67" spans="1:6" x14ac:dyDescent="0.25">
      <c r="A67" t="s">
        <v>78</v>
      </c>
      <c r="B67" t="s">
        <v>178</v>
      </c>
      <c r="C67">
        <v>49</v>
      </c>
      <c r="D67" t="s">
        <v>181</v>
      </c>
      <c r="E67" s="2">
        <f>Customers!E67</f>
        <v>45832</v>
      </c>
    </row>
    <row r="68" spans="1:6" x14ac:dyDescent="0.25">
      <c r="A68" t="s">
        <v>79</v>
      </c>
      <c r="B68" t="s">
        <v>178</v>
      </c>
      <c r="C68">
        <v>49</v>
      </c>
      <c r="D68" t="s">
        <v>181</v>
      </c>
      <c r="E68" s="2">
        <f>Customers!E68</f>
        <v>45835</v>
      </c>
    </row>
    <row r="69" spans="1:6" x14ac:dyDescent="0.25">
      <c r="A69" t="s">
        <v>80</v>
      </c>
      <c r="B69" t="s">
        <v>178</v>
      </c>
      <c r="C69">
        <v>49</v>
      </c>
      <c r="D69" t="s">
        <v>181</v>
      </c>
      <c r="E69" s="2">
        <f>Customers!E69</f>
        <v>45838</v>
      </c>
    </row>
    <row r="70" spans="1:6" x14ac:dyDescent="0.25">
      <c r="A70" t="s">
        <v>81</v>
      </c>
      <c r="B70" t="s">
        <v>178</v>
      </c>
      <c r="C70">
        <v>49</v>
      </c>
      <c r="D70" t="s">
        <v>181</v>
      </c>
      <c r="E70" s="2">
        <f>Customers!E70</f>
        <v>45840</v>
      </c>
    </row>
    <row r="71" spans="1:6" x14ac:dyDescent="0.25">
      <c r="A71" t="s">
        <v>82</v>
      </c>
      <c r="B71" t="s">
        <v>178</v>
      </c>
      <c r="C71">
        <v>49</v>
      </c>
      <c r="D71" t="s">
        <v>180</v>
      </c>
      <c r="E71" s="2">
        <f>Customers!E71</f>
        <v>45843</v>
      </c>
      <c r="F71" s="2">
        <v>45883</v>
      </c>
    </row>
    <row r="72" spans="1:6" x14ac:dyDescent="0.25">
      <c r="A72" t="s">
        <v>83</v>
      </c>
      <c r="B72" t="s">
        <v>178</v>
      </c>
      <c r="C72">
        <v>49</v>
      </c>
      <c r="D72" t="s">
        <v>181</v>
      </c>
      <c r="E72" s="2">
        <f>Customers!E72</f>
        <v>45845</v>
      </c>
    </row>
    <row r="73" spans="1:6" x14ac:dyDescent="0.25">
      <c r="A73" t="s">
        <v>84</v>
      </c>
      <c r="B73" t="s">
        <v>178</v>
      </c>
      <c r="C73">
        <v>49</v>
      </c>
      <c r="D73" t="s">
        <v>181</v>
      </c>
      <c r="E73" s="2">
        <f>Customers!E73</f>
        <v>45848</v>
      </c>
    </row>
    <row r="74" spans="1:6" x14ac:dyDescent="0.25">
      <c r="A74" t="s">
        <v>85</v>
      </c>
      <c r="B74" t="s">
        <v>178</v>
      </c>
      <c r="C74">
        <v>49</v>
      </c>
      <c r="D74" t="s">
        <v>181</v>
      </c>
      <c r="E74" s="2">
        <f>Customers!E74</f>
        <v>45850</v>
      </c>
    </row>
    <row r="75" spans="1:6" x14ac:dyDescent="0.25">
      <c r="A75" t="s">
        <v>86</v>
      </c>
      <c r="B75" t="s">
        <v>178</v>
      </c>
      <c r="C75">
        <v>49</v>
      </c>
      <c r="D75" t="s">
        <v>181</v>
      </c>
      <c r="E75" s="2">
        <f>Customers!E75</f>
        <v>45853</v>
      </c>
    </row>
    <row r="76" spans="1:6" x14ac:dyDescent="0.25">
      <c r="A76" t="s">
        <v>87</v>
      </c>
      <c r="B76" t="s">
        <v>178</v>
      </c>
      <c r="C76">
        <v>49</v>
      </c>
      <c r="D76" t="s">
        <v>180</v>
      </c>
      <c r="E76" s="2">
        <f>Customers!E76</f>
        <v>45855</v>
      </c>
      <c r="F76" s="2">
        <v>45896</v>
      </c>
    </row>
    <row r="77" spans="1:6" x14ac:dyDescent="0.25">
      <c r="A77" t="s">
        <v>88</v>
      </c>
      <c r="B77" t="s">
        <v>179</v>
      </c>
      <c r="C77">
        <v>149</v>
      </c>
      <c r="D77" t="s">
        <v>181</v>
      </c>
      <c r="E77" s="2">
        <f>Customers!E77</f>
        <v>45858</v>
      </c>
    </row>
    <row r="78" spans="1:6" x14ac:dyDescent="0.25">
      <c r="A78" t="s">
        <v>89</v>
      </c>
      <c r="B78" t="s">
        <v>179</v>
      </c>
      <c r="C78">
        <v>149</v>
      </c>
      <c r="D78" t="s">
        <v>181</v>
      </c>
      <c r="E78" s="2">
        <f>Customers!E78</f>
        <v>45860</v>
      </c>
    </row>
    <row r="79" spans="1:6" x14ac:dyDescent="0.25">
      <c r="A79" t="s">
        <v>90</v>
      </c>
      <c r="B79" t="s">
        <v>179</v>
      </c>
      <c r="C79">
        <v>149</v>
      </c>
      <c r="D79" t="s">
        <v>181</v>
      </c>
      <c r="E79" s="2">
        <f>Customers!E79</f>
        <v>45863</v>
      </c>
    </row>
    <row r="80" spans="1:6" x14ac:dyDescent="0.25">
      <c r="A80" t="s">
        <v>91</v>
      </c>
      <c r="B80" t="s">
        <v>179</v>
      </c>
      <c r="C80">
        <v>149</v>
      </c>
      <c r="D80" t="s">
        <v>181</v>
      </c>
      <c r="E80" s="2">
        <f>Customers!E80</f>
        <v>45865</v>
      </c>
    </row>
    <row r="81" spans="1:6" x14ac:dyDescent="0.25">
      <c r="A81" t="s">
        <v>92</v>
      </c>
      <c r="B81" t="s">
        <v>179</v>
      </c>
      <c r="C81">
        <v>149</v>
      </c>
      <c r="D81" t="s">
        <v>180</v>
      </c>
      <c r="E81" s="2">
        <f>Customers!E81</f>
        <v>45868</v>
      </c>
      <c r="F81" s="2">
        <v>45905</v>
      </c>
    </row>
    <row r="82" spans="1:6" x14ac:dyDescent="0.25">
      <c r="A82" t="s">
        <v>93</v>
      </c>
      <c r="B82" t="s">
        <v>179</v>
      </c>
      <c r="C82">
        <v>149</v>
      </c>
      <c r="D82" t="s">
        <v>181</v>
      </c>
      <c r="E82" s="2">
        <f>Customers!E82</f>
        <v>45871</v>
      </c>
    </row>
    <row r="83" spans="1:6" x14ac:dyDescent="0.25">
      <c r="A83" t="s">
        <v>94</v>
      </c>
      <c r="B83" t="s">
        <v>179</v>
      </c>
      <c r="C83">
        <v>149</v>
      </c>
      <c r="D83" t="s">
        <v>181</v>
      </c>
      <c r="E83" s="2">
        <f>Customers!E83</f>
        <v>45874</v>
      </c>
    </row>
    <row r="84" spans="1:6" x14ac:dyDescent="0.25">
      <c r="A84" t="s">
        <v>95</v>
      </c>
      <c r="B84" t="s">
        <v>179</v>
      </c>
      <c r="C84">
        <v>149</v>
      </c>
      <c r="D84" t="s">
        <v>181</v>
      </c>
      <c r="E84" s="2">
        <f>Customers!E84</f>
        <v>45876</v>
      </c>
    </row>
    <row r="85" spans="1:6" x14ac:dyDescent="0.25">
      <c r="A85" t="s">
        <v>96</v>
      </c>
      <c r="B85" t="s">
        <v>179</v>
      </c>
      <c r="C85">
        <v>149</v>
      </c>
      <c r="D85" t="s">
        <v>181</v>
      </c>
      <c r="E85" s="2">
        <f>Customers!E85</f>
        <v>45879</v>
      </c>
    </row>
    <row r="86" spans="1:6" x14ac:dyDescent="0.25">
      <c r="A86" t="s">
        <v>97</v>
      </c>
      <c r="B86" t="s">
        <v>179</v>
      </c>
      <c r="C86">
        <v>149</v>
      </c>
      <c r="D86" t="s">
        <v>180</v>
      </c>
      <c r="E86" s="2">
        <f>Customers!E86</f>
        <v>45881</v>
      </c>
      <c r="F86" s="2">
        <v>45913</v>
      </c>
    </row>
    <row r="87" spans="1:6" x14ac:dyDescent="0.25">
      <c r="A87" t="s">
        <v>98</v>
      </c>
      <c r="B87" t="s">
        <v>179</v>
      </c>
      <c r="C87">
        <v>149</v>
      </c>
      <c r="D87" t="s">
        <v>181</v>
      </c>
      <c r="E87" s="2">
        <f>Customers!E87</f>
        <v>45884</v>
      </c>
    </row>
    <row r="88" spans="1:6" x14ac:dyDescent="0.25">
      <c r="A88" t="s">
        <v>99</v>
      </c>
      <c r="B88" t="s">
        <v>179</v>
      </c>
      <c r="C88">
        <v>149</v>
      </c>
      <c r="D88" t="s">
        <v>181</v>
      </c>
      <c r="E88" s="2">
        <f>Customers!E88</f>
        <v>45886</v>
      </c>
    </row>
    <row r="89" spans="1:6" x14ac:dyDescent="0.25">
      <c r="A89" t="s">
        <v>100</v>
      </c>
      <c r="B89" t="s">
        <v>179</v>
      </c>
      <c r="C89">
        <v>149</v>
      </c>
      <c r="D89" t="s">
        <v>181</v>
      </c>
      <c r="E89" s="2">
        <f>Customers!E89</f>
        <v>45889</v>
      </c>
    </row>
    <row r="90" spans="1:6" x14ac:dyDescent="0.25">
      <c r="A90" t="s">
        <v>101</v>
      </c>
      <c r="B90" t="s">
        <v>179</v>
      </c>
      <c r="C90">
        <v>149</v>
      </c>
      <c r="D90" t="s">
        <v>181</v>
      </c>
      <c r="E90" s="2">
        <f>Customers!E90</f>
        <v>45891</v>
      </c>
    </row>
    <row r="91" spans="1:6" x14ac:dyDescent="0.25">
      <c r="A91" t="s">
        <v>102</v>
      </c>
      <c r="B91" t="s">
        <v>179</v>
      </c>
      <c r="C91">
        <v>149</v>
      </c>
      <c r="D91" t="s">
        <v>180</v>
      </c>
      <c r="E91" s="2">
        <f>Customers!E91</f>
        <v>45894</v>
      </c>
      <c r="F91" s="2">
        <v>45924</v>
      </c>
    </row>
    <row r="92" spans="1:6" x14ac:dyDescent="0.25">
      <c r="A92" t="s">
        <v>103</v>
      </c>
      <c r="B92" t="s">
        <v>179</v>
      </c>
      <c r="C92">
        <v>149</v>
      </c>
      <c r="D92" t="s">
        <v>181</v>
      </c>
      <c r="E92" s="2">
        <f>Customers!E92</f>
        <v>45896</v>
      </c>
    </row>
    <row r="93" spans="1:6" x14ac:dyDescent="0.25">
      <c r="A93" t="s">
        <v>104</v>
      </c>
      <c r="B93" t="s">
        <v>179</v>
      </c>
      <c r="C93">
        <v>149</v>
      </c>
      <c r="D93" t="s">
        <v>181</v>
      </c>
      <c r="E93" s="2">
        <f>Customers!E93</f>
        <v>45899</v>
      </c>
    </row>
    <row r="94" spans="1:6" x14ac:dyDescent="0.25">
      <c r="A94" t="s">
        <v>105</v>
      </c>
      <c r="B94" t="s">
        <v>179</v>
      </c>
      <c r="C94">
        <v>149</v>
      </c>
      <c r="D94" t="s">
        <v>181</v>
      </c>
      <c r="E94" s="2">
        <f>Customers!E94</f>
        <v>45902</v>
      </c>
    </row>
    <row r="95" spans="1:6" x14ac:dyDescent="0.25">
      <c r="A95" t="s">
        <v>106</v>
      </c>
      <c r="B95" t="s">
        <v>179</v>
      </c>
      <c r="C95">
        <v>149</v>
      </c>
      <c r="D95" t="s">
        <v>181</v>
      </c>
      <c r="E95" s="2">
        <f>Customers!E95</f>
        <v>45905</v>
      </c>
    </row>
    <row r="96" spans="1:6" x14ac:dyDescent="0.25">
      <c r="A96" t="s">
        <v>107</v>
      </c>
      <c r="B96" t="s">
        <v>179</v>
      </c>
      <c r="C96">
        <v>149</v>
      </c>
      <c r="D96" t="s">
        <v>180</v>
      </c>
      <c r="E96" s="2">
        <f>Customers!E96</f>
        <v>45907</v>
      </c>
      <c r="F96" s="2">
        <v>45932</v>
      </c>
    </row>
    <row r="97" spans="1:6" x14ac:dyDescent="0.25">
      <c r="A97" t="s">
        <v>108</v>
      </c>
      <c r="B97" t="s">
        <v>179</v>
      </c>
      <c r="C97">
        <v>149</v>
      </c>
      <c r="D97" t="s">
        <v>181</v>
      </c>
      <c r="E97" s="2">
        <f>Customers!E97</f>
        <v>45910</v>
      </c>
    </row>
    <row r="98" spans="1:6" x14ac:dyDescent="0.25">
      <c r="A98" t="s">
        <v>109</v>
      </c>
      <c r="B98" t="s">
        <v>179</v>
      </c>
      <c r="C98">
        <v>149</v>
      </c>
      <c r="D98" t="s">
        <v>181</v>
      </c>
      <c r="E98" s="2">
        <f>Customers!E98</f>
        <v>45912</v>
      </c>
    </row>
    <row r="99" spans="1:6" x14ac:dyDescent="0.25">
      <c r="A99" t="s">
        <v>110</v>
      </c>
      <c r="B99" t="s">
        <v>179</v>
      </c>
      <c r="C99">
        <v>149</v>
      </c>
      <c r="D99" t="s">
        <v>181</v>
      </c>
      <c r="E99" s="2">
        <f>Customers!E99</f>
        <v>45915</v>
      </c>
    </row>
    <row r="100" spans="1:6" x14ac:dyDescent="0.25">
      <c r="A100" t="s">
        <v>111</v>
      </c>
      <c r="B100" t="s">
        <v>179</v>
      </c>
      <c r="C100">
        <v>149</v>
      </c>
      <c r="D100" t="s">
        <v>181</v>
      </c>
      <c r="E100" s="2">
        <f>Customers!E100</f>
        <v>45917</v>
      </c>
    </row>
    <row r="101" spans="1:6" x14ac:dyDescent="0.25">
      <c r="A101" t="s">
        <v>112</v>
      </c>
      <c r="B101" t="s">
        <v>179</v>
      </c>
      <c r="C101">
        <v>149</v>
      </c>
      <c r="D101" t="s">
        <v>180</v>
      </c>
      <c r="E101" s="2">
        <f>Customers!E101</f>
        <v>45920</v>
      </c>
      <c r="F101" s="2">
        <v>45941</v>
      </c>
    </row>
    <row r="102" spans="1:6" x14ac:dyDescent="0.25">
      <c r="A102" t="s">
        <v>113</v>
      </c>
      <c r="B102" t="s">
        <v>179</v>
      </c>
      <c r="C102">
        <v>149</v>
      </c>
      <c r="D102" t="s">
        <v>181</v>
      </c>
      <c r="E102" s="2">
        <f>Customers!E102</f>
        <v>45922</v>
      </c>
    </row>
    <row r="103" spans="1:6" x14ac:dyDescent="0.25">
      <c r="A103" t="s">
        <v>114</v>
      </c>
      <c r="B103" t="s">
        <v>179</v>
      </c>
      <c r="C103">
        <v>149</v>
      </c>
      <c r="D103" t="s">
        <v>181</v>
      </c>
      <c r="E103" s="2">
        <f>Customers!E103</f>
        <v>45925</v>
      </c>
    </row>
    <row r="104" spans="1:6" x14ac:dyDescent="0.25">
      <c r="A104" t="s">
        <v>115</v>
      </c>
      <c r="B104" t="s">
        <v>179</v>
      </c>
      <c r="C104">
        <v>149</v>
      </c>
      <c r="D104" t="s">
        <v>181</v>
      </c>
      <c r="E104" s="2">
        <f>Customers!E104</f>
        <v>45927</v>
      </c>
    </row>
    <row r="105" spans="1:6" x14ac:dyDescent="0.25">
      <c r="A105" t="s">
        <v>116</v>
      </c>
      <c r="B105" t="s">
        <v>179</v>
      </c>
      <c r="C105">
        <v>149</v>
      </c>
      <c r="D105" t="s">
        <v>181</v>
      </c>
      <c r="E105" s="2">
        <f>Customers!E105</f>
        <v>45930</v>
      </c>
    </row>
    <row r="106" spans="1:6" x14ac:dyDescent="0.25">
      <c r="A106" t="s">
        <v>117</v>
      </c>
      <c r="B106" t="s">
        <v>179</v>
      </c>
      <c r="C106">
        <v>149</v>
      </c>
      <c r="D106" t="s">
        <v>180</v>
      </c>
      <c r="E106" s="2">
        <f>Customers!E106</f>
        <v>45932</v>
      </c>
      <c r="F106" s="2">
        <v>45984</v>
      </c>
    </row>
    <row r="107" spans="1:6" x14ac:dyDescent="0.25">
      <c r="A107" t="s">
        <v>118</v>
      </c>
      <c r="B107" t="s">
        <v>179</v>
      </c>
      <c r="C107">
        <v>149</v>
      </c>
      <c r="D107" t="s">
        <v>181</v>
      </c>
      <c r="E107" s="2">
        <f>Customers!E107</f>
        <v>45935</v>
      </c>
    </row>
    <row r="108" spans="1:6" x14ac:dyDescent="0.25">
      <c r="A108" t="s">
        <v>119</v>
      </c>
      <c r="B108" t="s">
        <v>179</v>
      </c>
      <c r="C108">
        <v>149</v>
      </c>
      <c r="D108" t="s">
        <v>181</v>
      </c>
      <c r="E108" s="2">
        <f>Customers!E108</f>
        <v>45937</v>
      </c>
    </row>
    <row r="109" spans="1:6" x14ac:dyDescent="0.25">
      <c r="A109" t="s">
        <v>120</v>
      </c>
      <c r="B109" t="s">
        <v>179</v>
      </c>
      <c r="C109">
        <v>149</v>
      </c>
      <c r="D109" t="s">
        <v>181</v>
      </c>
      <c r="E109" s="2">
        <f>Customers!E109</f>
        <v>45940</v>
      </c>
    </row>
    <row r="110" spans="1:6" x14ac:dyDescent="0.25">
      <c r="A110" t="s">
        <v>121</v>
      </c>
      <c r="B110" t="s">
        <v>179</v>
      </c>
      <c r="C110">
        <v>149</v>
      </c>
      <c r="D110" t="s">
        <v>181</v>
      </c>
      <c r="E110" s="2">
        <f>Customers!E110</f>
        <v>45942</v>
      </c>
    </row>
    <row r="111" spans="1:6" x14ac:dyDescent="0.25">
      <c r="A111" t="s">
        <v>122</v>
      </c>
      <c r="B111" t="s">
        <v>179</v>
      </c>
      <c r="C111">
        <v>149</v>
      </c>
      <c r="D111" t="s">
        <v>180</v>
      </c>
      <c r="E111" s="2">
        <f>Customers!E111</f>
        <v>45945</v>
      </c>
      <c r="F111" s="2">
        <v>45992</v>
      </c>
    </row>
    <row r="112" spans="1:6" x14ac:dyDescent="0.25">
      <c r="A112" t="s">
        <v>123</v>
      </c>
      <c r="B112" t="s">
        <v>179</v>
      </c>
      <c r="C112">
        <v>149</v>
      </c>
      <c r="D112" t="s">
        <v>181</v>
      </c>
      <c r="E112" s="2">
        <f>Customers!E112</f>
        <v>45947</v>
      </c>
    </row>
    <row r="113" spans="1:6" x14ac:dyDescent="0.25">
      <c r="A113" t="s">
        <v>124</v>
      </c>
      <c r="B113" t="s">
        <v>179</v>
      </c>
      <c r="C113">
        <v>149</v>
      </c>
      <c r="D113" t="s">
        <v>181</v>
      </c>
      <c r="E113" s="2">
        <f>Customers!E113</f>
        <v>45950</v>
      </c>
    </row>
    <row r="114" spans="1:6" x14ac:dyDescent="0.25">
      <c r="A114" t="s">
        <v>125</v>
      </c>
      <c r="B114" t="s">
        <v>179</v>
      </c>
      <c r="C114">
        <v>149</v>
      </c>
      <c r="D114" t="s">
        <v>181</v>
      </c>
      <c r="E114" s="2">
        <f>Customers!E114</f>
        <v>45952</v>
      </c>
    </row>
    <row r="115" spans="1:6" x14ac:dyDescent="0.25">
      <c r="A115" t="s">
        <v>126</v>
      </c>
      <c r="B115" t="s">
        <v>179</v>
      </c>
      <c r="C115">
        <v>149</v>
      </c>
      <c r="D115" t="s">
        <v>181</v>
      </c>
      <c r="E115" s="2">
        <f>Customers!E115</f>
        <v>45955</v>
      </c>
    </row>
    <row r="116" spans="1:6" x14ac:dyDescent="0.25">
      <c r="A116" t="s">
        <v>127</v>
      </c>
      <c r="B116" t="s">
        <v>179</v>
      </c>
      <c r="C116">
        <v>149</v>
      </c>
      <c r="D116" t="s">
        <v>180</v>
      </c>
      <c r="E116" s="2">
        <f>Customers!E116</f>
        <v>45957</v>
      </c>
      <c r="F116" s="2">
        <v>46003</v>
      </c>
    </row>
    <row r="117" spans="1:6" x14ac:dyDescent="0.25">
      <c r="A117" t="s">
        <v>128</v>
      </c>
      <c r="B117" t="s">
        <v>179</v>
      </c>
      <c r="C117">
        <v>149</v>
      </c>
      <c r="D117" t="s">
        <v>181</v>
      </c>
      <c r="E117" s="2">
        <f>Customers!E117</f>
        <v>45960</v>
      </c>
    </row>
    <row r="118" spans="1:6" x14ac:dyDescent="0.25">
      <c r="A118" t="s">
        <v>129</v>
      </c>
      <c r="B118" t="s">
        <v>179</v>
      </c>
      <c r="C118">
        <v>149</v>
      </c>
      <c r="D118" t="s">
        <v>181</v>
      </c>
      <c r="E118" s="2">
        <f>Customers!E118</f>
        <v>45963</v>
      </c>
    </row>
    <row r="119" spans="1:6" x14ac:dyDescent="0.25">
      <c r="A119" t="s">
        <v>130</v>
      </c>
      <c r="B119" t="s">
        <v>179</v>
      </c>
      <c r="C119">
        <v>149</v>
      </c>
      <c r="D119" t="s">
        <v>181</v>
      </c>
      <c r="E119" s="2">
        <f>Customers!E119</f>
        <v>45966</v>
      </c>
    </row>
    <row r="120" spans="1:6" x14ac:dyDescent="0.25">
      <c r="A120" t="s">
        <v>131</v>
      </c>
      <c r="B120" t="s">
        <v>179</v>
      </c>
      <c r="C120">
        <v>149</v>
      </c>
      <c r="D120" t="s">
        <v>181</v>
      </c>
      <c r="E120" s="2">
        <f>Customers!E120</f>
        <v>45968</v>
      </c>
    </row>
    <row r="121" spans="1:6" x14ac:dyDescent="0.25">
      <c r="A121" t="s">
        <v>132</v>
      </c>
      <c r="B121" t="s">
        <v>179</v>
      </c>
      <c r="C121">
        <v>149</v>
      </c>
      <c r="D121" t="s">
        <v>180</v>
      </c>
      <c r="E121" s="2">
        <f>Customers!E121</f>
        <v>45971</v>
      </c>
      <c r="F121" s="2">
        <v>46011</v>
      </c>
    </row>
    <row r="122" spans="1:6" x14ac:dyDescent="0.25">
      <c r="A122" t="s">
        <v>133</v>
      </c>
      <c r="B122" t="s">
        <v>179</v>
      </c>
      <c r="C122">
        <v>149</v>
      </c>
      <c r="D122" t="s">
        <v>181</v>
      </c>
      <c r="E122" s="2">
        <f>Customers!E122</f>
        <v>45973</v>
      </c>
    </row>
    <row r="123" spans="1:6" x14ac:dyDescent="0.25">
      <c r="A123" t="s">
        <v>134</v>
      </c>
      <c r="B123" t="s">
        <v>179</v>
      </c>
      <c r="C123">
        <v>149</v>
      </c>
      <c r="D123" t="s">
        <v>181</v>
      </c>
      <c r="E123" s="2">
        <f>Customers!E123</f>
        <v>45976</v>
      </c>
    </row>
    <row r="124" spans="1:6" x14ac:dyDescent="0.25">
      <c r="A124" t="s">
        <v>135</v>
      </c>
      <c r="B124" t="s">
        <v>179</v>
      </c>
      <c r="C124">
        <v>149</v>
      </c>
      <c r="D124" t="s">
        <v>181</v>
      </c>
      <c r="E124" s="2">
        <f>Customers!E124</f>
        <v>45978</v>
      </c>
    </row>
    <row r="125" spans="1:6" x14ac:dyDescent="0.25">
      <c r="A125" t="s">
        <v>136</v>
      </c>
      <c r="B125" t="s">
        <v>179</v>
      </c>
      <c r="C125">
        <v>149</v>
      </c>
      <c r="D125" t="s">
        <v>181</v>
      </c>
      <c r="E125" s="2">
        <f>Customers!E125</f>
        <v>45981</v>
      </c>
    </row>
    <row r="126" spans="1:6" x14ac:dyDescent="0.25">
      <c r="A126" t="s">
        <v>137</v>
      </c>
      <c r="B126" t="s">
        <v>179</v>
      </c>
      <c r="C126">
        <v>149</v>
      </c>
      <c r="D126" t="s">
        <v>180</v>
      </c>
      <c r="E126" s="2">
        <f>Customers!E126</f>
        <v>45983</v>
      </c>
      <c r="F126" s="2">
        <v>45994</v>
      </c>
    </row>
    <row r="127" spans="1:6" x14ac:dyDescent="0.25">
      <c r="A127" t="s">
        <v>138</v>
      </c>
      <c r="B127" t="s">
        <v>13</v>
      </c>
      <c r="C127">
        <v>499</v>
      </c>
      <c r="D127" t="s">
        <v>181</v>
      </c>
      <c r="E127" s="2">
        <f>Customers!E127</f>
        <v>45986</v>
      </c>
    </row>
    <row r="128" spans="1:6" x14ac:dyDescent="0.25">
      <c r="A128" t="s">
        <v>139</v>
      </c>
      <c r="B128" t="s">
        <v>13</v>
      </c>
      <c r="C128">
        <v>499</v>
      </c>
      <c r="D128" t="s">
        <v>181</v>
      </c>
      <c r="E128" s="2">
        <f>Customers!E128</f>
        <v>45988</v>
      </c>
    </row>
    <row r="129" spans="1:6" x14ac:dyDescent="0.25">
      <c r="A129" t="s">
        <v>140</v>
      </c>
      <c r="B129" t="s">
        <v>13</v>
      </c>
      <c r="C129">
        <v>499</v>
      </c>
      <c r="D129" t="s">
        <v>181</v>
      </c>
      <c r="E129" s="2">
        <f>Customers!E129</f>
        <v>45991</v>
      </c>
    </row>
    <row r="130" spans="1:6" x14ac:dyDescent="0.25">
      <c r="A130" t="s">
        <v>141</v>
      </c>
      <c r="B130" t="s">
        <v>13</v>
      </c>
      <c r="C130">
        <v>499</v>
      </c>
      <c r="D130" t="s">
        <v>181</v>
      </c>
      <c r="E130" s="2">
        <f>Customers!E130</f>
        <v>45993</v>
      </c>
    </row>
    <row r="131" spans="1:6" x14ac:dyDescent="0.25">
      <c r="A131" t="s">
        <v>142</v>
      </c>
      <c r="B131" t="s">
        <v>13</v>
      </c>
      <c r="C131">
        <v>499</v>
      </c>
      <c r="D131" t="s">
        <v>180</v>
      </c>
      <c r="E131" s="2">
        <f>Customers!E131</f>
        <v>45935</v>
      </c>
      <c r="F131" s="2">
        <v>46006</v>
      </c>
    </row>
    <row r="132" spans="1:6" x14ac:dyDescent="0.25">
      <c r="A132" t="s">
        <v>143</v>
      </c>
      <c r="B132" t="s">
        <v>13</v>
      </c>
      <c r="C132">
        <v>499</v>
      </c>
      <c r="D132" t="s">
        <v>181</v>
      </c>
      <c r="E132" s="2">
        <f>Customers!E132</f>
        <v>45907</v>
      </c>
    </row>
    <row r="133" spans="1:6" x14ac:dyDescent="0.25">
      <c r="A133" t="s">
        <v>144</v>
      </c>
      <c r="B133" t="s">
        <v>13</v>
      </c>
      <c r="C133">
        <v>499</v>
      </c>
      <c r="D133" t="s">
        <v>181</v>
      </c>
      <c r="E133" s="2">
        <f>Customers!E133</f>
        <v>46001</v>
      </c>
    </row>
    <row r="134" spans="1:6" x14ac:dyDescent="0.25">
      <c r="A134" t="s">
        <v>145</v>
      </c>
      <c r="B134" t="s">
        <v>13</v>
      </c>
      <c r="C134">
        <v>499</v>
      </c>
      <c r="D134" t="s">
        <v>181</v>
      </c>
      <c r="E134" s="2">
        <f>Customers!E134</f>
        <v>46003</v>
      </c>
    </row>
    <row r="135" spans="1:6" x14ac:dyDescent="0.25">
      <c r="A135" t="s">
        <v>146</v>
      </c>
      <c r="B135" t="s">
        <v>13</v>
      </c>
      <c r="C135">
        <v>499</v>
      </c>
      <c r="D135" t="s">
        <v>181</v>
      </c>
      <c r="E135" s="2">
        <f>Customers!E135</f>
        <v>45915</v>
      </c>
    </row>
    <row r="136" spans="1:6" x14ac:dyDescent="0.25">
      <c r="A136" t="s">
        <v>147</v>
      </c>
      <c r="B136" t="s">
        <v>13</v>
      </c>
      <c r="C136">
        <v>499</v>
      </c>
      <c r="D136" t="s">
        <v>180</v>
      </c>
      <c r="E136" s="2">
        <f>Customers!E136</f>
        <v>45947</v>
      </c>
      <c r="F136" s="2">
        <v>46013</v>
      </c>
    </row>
    <row r="137" spans="1:6" x14ac:dyDescent="0.25">
      <c r="A137" t="s">
        <v>148</v>
      </c>
      <c r="B137" t="s">
        <v>13</v>
      </c>
      <c r="C137">
        <v>499</v>
      </c>
      <c r="D137" t="s">
        <v>181</v>
      </c>
      <c r="E137" s="2">
        <f>Customers!E137</f>
        <v>45950</v>
      </c>
    </row>
    <row r="138" spans="1:6" x14ac:dyDescent="0.25">
      <c r="A138" t="s">
        <v>149</v>
      </c>
      <c r="B138" t="s">
        <v>13</v>
      </c>
      <c r="C138">
        <v>499</v>
      </c>
      <c r="D138" t="s">
        <v>181</v>
      </c>
      <c r="E138" s="2">
        <f>Customers!E138</f>
        <v>46013</v>
      </c>
    </row>
    <row r="139" spans="1:6" x14ac:dyDescent="0.25">
      <c r="A139" t="s">
        <v>150</v>
      </c>
      <c r="B139" t="s">
        <v>13</v>
      </c>
      <c r="C139">
        <v>499</v>
      </c>
      <c r="D139" t="s">
        <v>181</v>
      </c>
      <c r="E139" s="2">
        <f>Customers!E139</f>
        <v>46016</v>
      </c>
    </row>
    <row r="140" spans="1:6" x14ac:dyDescent="0.25">
      <c r="A140" t="s">
        <v>151</v>
      </c>
      <c r="B140" t="s">
        <v>13</v>
      </c>
      <c r="C140">
        <v>499</v>
      </c>
      <c r="D140" t="s">
        <v>181</v>
      </c>
      <c r="E140" s="2">
        <f>Customers!E140</f>
        <v>46018</v>
      </c>
    </row>
    <row r="141" spans="1:6" x14ac:dyDescent="0.25">
      <c r="A141" t="s">
        <v>152</v>
      </c>
      <c r="B141" t="s">
        <v>13</v>
      </c>
      <c r="C141">
        <v>499</v>
      </c>
      <c r="D141" t="s">
        <v>180</v>
      </c>
      <c r="E141" s="2">
        <f>Customers!E141</f>
        <v>45838</v>
      </c>
      <c r="F141" s="2">
        <v>45878</v>
      </c>
    </row>
    <row r="142" spans="1:6" x14ac:dyDescent="0.25">
      <c r="A142" t="s">
        <v>153</v>
      </c>
      <c r="B142" t="s">
        <v>13</v>
      </c>
      <c r="C142">
        <v>499</v>
      </c>
      <c r="D142" t="s">
        <v>181</v>
      </c>
      <c r="E142" s="2">
        <f>Customers!E142</f>
        <v>45993</v>
      </c>
    </row>
    <row r="143" spans="1:6" x14ac:dyDescent="0.25">
      <c r="A143" t="s">
        <v>154</v>
      </c>
      <c r="B143" t="s">
        <v>13</v>
      </c>
      <c r="C143">
        <v>499</v>
      </c>
      <c r="D143" t="s">
        <v>181</v>
      </c>
      <c r="E143" s="2">
        <f>Customers!E143</f>
        <v>45996</v>
      </c>
    </row>
    <row r="144" spans="1:6" x14ac:dyDescent="0.25">
      <c r="A144" t="s">
        <v>155</v>
      </c>
      <c r="B144" t="s">
        <v>13</v>
      </c>
      <c r="C144">
        <v>499</v>
      </c>
      <c r="D144" t="s">
        <v>181</v>
      </c>
      <c r="E144" s="2">
        <f>Customers!E144</f>
        <v>45998</v>
      </c>
    </row>
    <row r="145" spans="1:6" x14ac:dyDescent="0.25">
      <c r="A145" t="s">
        <v>156</v>
      </c>
      <c r="B145" t="s">
        <v>13</v>
      </c>
      <c r="C145">
        <v>499</v>
      </c>
      <c r="D145" t="s">
        <v>181</v>
      </c>
      <c r="E145" s="2">
        <f>Customers!E145</f>
        <v>45848</v>
      </c>
    </row>
    <row r="146" spans="1:6" x14ac:dyDescent="0.25">
      <c r="A146" t="s">
        <v>157</v>
      </c>
      <c r="B146" t="s">
        <v>13</v>
      </c>
      <c r="C146">
        <v>499</v>
      </c>
      <c r="D146" t="s">
        <v>180</v>
      </c>
      <c r="E146" s="2">
        <f>Customers!E146</f>
        <v>45881</v>
      </c>
      <c r="F146" s="2">
        <v>45918</v>
      </c>
    </row>
    <row r="147" spans="1:6" x14ac:dyDescent="0.25">
      <c r="A147" t="s">
        <v>158</v>
      </c>
      <c r="B147" t="s">
        <v>13</v>
      </c>
      <c r="C147">
        <v>499</v>
      </c>
      <c r="D147" t="s">
        <v>181</v>
      </c>
      <c r="E147" s="2">
        <f>Customers!E147</f>
        <v>46006</v>
      </c>
    </row>
    <row r="148" spans="1:6" x14ac:dyDescent="0.25">
      <c r="A148" t="s">
        <v>159</v>
      </c>
      <c r="B148" t="s">
        <v>13</v>
      </c>
      <c r="C148">
        <v>499</v>
      </c>
      <c r="D148" t="s">
        <v>181</v>
      </c>
      <c r="E148" s="2">
        <f>Customers!E148</f>
        <v>46008</v>
      </c>
    </row>
    <row r="149" spans="1:6" x14ac:dyDescent="0.25">
      <c r="A149" t="s">
        <v>160</v>
      </c>
      <c r="B149" t="s">
        <v>13</v>
      </c>
      <c r="C149">
        <v>499</v>
      </c>
      <c r="D149" t="s">
        <v>181</v>
      </c>
      <c r="E149" s="2">
        <f>Customers!E149</f>
        <v>46011</v>
      </c>
    </row>
    <row r="150" spans="1:6" x14ac:dyDescent="0.25">
      <c r="A150" t="s">
        <v>161</v>
      </c>
      <c r="B150" t="s">
        <v>13</v>
      </c>
      <c r="C150">
        <v>499</v>
      </c>
      <c r="D150" t="s">
        <v>181</v>
      </c>
      <c r="E150" s="2">
        <f>Customers!E150</f>
        <v>46013</v>
      </c>
    </row>
    <row r="151" spans="1:6" x14ac:dyDescent="0.25">
      <c r="A151" t="s">
        <v>162</v>
      </c>
      <c r="B151" t="s">
        <v>13</v>
      </c>
      <c r="C151">
        <v>499</v>
      </c>
      <c r="D151" t="s">
        <v>180</v>
      </c>
      <c r="E151" s="2">
        <f>Customers!E151</f>
        <v>45986</v>
      </c>
      <c r="F151" s="2">
        <v>46017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D14" sqref="D14"/>
    </sheetView>
  </sheetViews>
  <sheetFormatPr defaultRowHeight="15" x14ac:dyDescent="0.25"/>
  <cols>
    <col min="1" max="1" width="13.28515625" bestFit="1" customWidth="1"/>
    <col min="2" max="2" width="14.7109375" bestFit="1" customWidth="1"/>
  </cols>
  <sheetData>
    <row r="3" spans="1:2" x14ac:dyDescent="0.25">
      <c r="A3" s="27" t="s">
        <v>201</v>
      </c>
      <c r="B3" s="11" t="s">
        <v>203</v>
      </c>
    </row>
    <row r="4" spans="1:2" x14ac:dyDescent="0.25">
      <c r="A4" s="28" t="s">
        <v>169</v>
      </c>
      <c r="B4" s="11">
        <v>43.237902129766418</v>
      </c>
    </row>
    <row r="5" spans="1:2" x14ac:dyDescent="0.25">
      <c r="A5" s="28" t="s">
        <v>168</v>
      </c>
      <c r="B5" s="11">
        <v>49.931581828133552</v>
      </c>
    </row>
    <row r="6" spans="1:2" x14ac:dyDescent="0.25">
      <c r="A6" s="28" t="s">
        <v>170</v>
      </c>
      <c r="B6" s="11">
        <v>90.717863632233119</v>
      </c>
    </row>
    <row r="7" spans="1:2" x14ac:dyDescent="0.25">
      <c r="A7" s="28" t="s">
        <v>172</v>
      </c>
      <c r="B7" s="11">
        <v>9.26687320801644</v>
      </c>
    </row>
    <row r="8" spans="1:2" x14ac:dyDescent="0.25">
      <c r="A8" s="28" t="s">
        <v>171</v>
      </c>
      <c r="B8" s="11">
        <v>20.002769176300898</v>
      </c>
    </row>
    <row r="9" spans="1:2" x14ac:dyDescent="0.25">
      <c r="A9" s="28" t="s">
        <v>202</v>
      </c>
      <c r="B9" s="11">
        <v>42.631397994890079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E8" sqref="E8"/>
    </sheetView>
  </sheetViews>
  <sheetFormatPr defaultRowHeight="15" x14ac:dyDescent="0.25"/>
  <cols>
    <col min="1" max="1" width="13.28515625" bestFit="1" customWidth="1"/>
    <col min="2" max="2" width="14.42578125" bestFit="1" customWidth="1"/>
  </cols>
  <sheetData>
    <row r="3" spans="1:2" x14ac:dyDescent="0.25">
      <c r="A3" s="27" t="s">
        <v>201</v>
      </c>
      <c r="B3" t="s">
        <v>204</v>
      </c>
    </row>
    <row r="4" spans="1:2" x14ac:dyDescent="0.25">
      <c r="A4" s="28" t="s">
        <v>169</v>
      </c>
      <c r="B4" s="29">
        <v>1125</v>
      </c>
    </row>
    <row r="5" spans="1:2" x14ac:dyDescent="0.25">
      <c r="A5" s="28" t="s">
        <v>168</v>
      </c>
      <c r="B5" s="29">
        <v>1466</v>
      </c>
    </row>
    <row r="6" spans="1:2" x14ac:dyDescent="0.25">
      <c r="A6" s="28" t="s">
        <v>170</v>
      </c>
      <c r="B6" s="29">
        <v>674</v>
      </c>
    </row>
    <row r="7" spans="1:2" x14ac:dyDescent="0.25">
      <c r="A7" s="28" t="s">
        <v>172</v>
      </c>
      <c r="B7" s="29">
        <v>823</v>
      </c>
    </row>
    <row r="8" spans="1:2" x14ac:dyDescent="0.25">
      <c r="A8" s="28" t="s">
        <v>171</v>
      </c>
      <c r="B8" s="29">
        <v>885</v>
      </c>
    </row>
    <row r="9" spans="1:2" x14ac:dyDescent="0.25">
      <c r="A9" s="28" t="s">
        <v>202</v>
      </c>
      <c r="B9" s="29">
        <v>4973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sqref="A1:E61"/>
    </sheetView>
  </sheetViews>
  <sheetFormatPr defaultRowHeight="15" x14ac:dyDescent="0.25"/>
  <cols>
    <col min="1" max="1" width="16.7109375" style="9" customWidth="1"/>
    <col min="2" max="2" width="13.5703125" customWidth="1"/>
    <col min="3" max="3" width="14.5703125" customWidth="1"/>
    <col min="5" max="5" width="9.140625" style="11"/>
  </cols>
  <sheetData>
    <row r="1" spans="1:5" ht="19.5" customHeight="1" x14ac:dyDescent="0.25">
      <c r="A1" s="13" t="s">
        <v>182</v>
      </c>
      <c r="B1" s="1" t="s">
        <v>185</v>
      </c>
      <c r="C1" s="1" t="s">
        <v>186</v>
      </c>
      <c r="D1" s="1" t="s">
        <v>187</v>
      </c>
      <c r="E1" s="14" t="s">
        <v>198</v>
      </c>
    </row>
    <row r="2" spans="1:5" x14ac:dyDescent="0.25">
      <c r="A2" s="15">
        <v>45658</v>
      </c>
      <c r="B2" s="16" t="s">
        <v>168</v>
      </c>
      <c r="C2" s="17">
        <v>5000</v>
      </c>
      <c r="D2" s="17">
        <v>100</v>
      </c>
      <c r="E2" s="18">
        <f>C2/D2</f>
        <v>50</v>
      </c>
    </row>
    <row r="3" spans="1:5" x14ac:dyDescent="0.25">
      <c r="A3" s="19">
        <v>45658</v>
      </c>
      <c r="B3" s="20" t="s">
        <v>169</v>
      </c>
      <c r="C3" s="21">
        <v>3500</v>
      </c>
      <c r="D3" s="21">
        <v>80</v>
      </c>
      <c r="E3" s="22">
        <f t="shared" ref="E3:E61" si="0">C3/D3</f>
        <v>43.75</v>
      </c>
    </row>
    <row r="4" spans="1:5" x14ac:dyDescent="0.25">
      <c r="A4" s="19">
        <v>45658</v>
      </c>
      <c r="B4" s="20" t="s">
        <v>170</v>
      </c>
      <c r="C4" s="21">
        <v>4500</v>
      </c>
      <c r="D4" s="21">
        <v>45</v>
      </c>
      <c r="E4" s="22">
        <f t="shared" si="0"/>
        <v>100</v>
      </c>
    </row>
    <row r="5" spans="1:5" x14ac:dyDescent="0.25">
      <c r="A5" s="19">
        <v>45658</v>
      </c>
      <c r="B5" s="20" t="s">
        <v>171</v>
      </c>
      <c r="C5" s="21">
        <v>1200</v>
      </c>
      <c r="D5" s="21">
        <v>60</v>
      </c>
      <c r="E5" s="22">
        <f t="shared" si="0"/>
        <v>20</v>
      </c>
    </row>
    <row r="6" spans="1:5" x14ac:dyDescent="0.25">
      <c r="A6" s="19">
        <v>45658</v>
      </c>
      <c r="B6" s="20" t="s">
        <v>172</v>
      </c>
      <c r="C6" s="21">
        <v>500</v>
      </c>
      <c r="D6" s="21">
        <v>55</v>
      </c>
      <c r="E6" s="22">
        <f t="shared" si="0"/>
        <v>9.0909090909090917</v>
      </c>
    </row>
    <row r="7" spans="1:5" x14ac:dyDescent="0.25">
      <c r="A7" s="19">
        <v>45689</v>
      </c>
      <c r="B7" s="20" t="s">
        <v>168</v>
      </c>
      <c r="C7" s="21">
        <v>5200</v>
      </c>
      <c r="D7" s="21">
        <v>105</v>
      </c>
      <c r="E7" s="22">
        <f t="shared" si="0"/>
        <v>49.523809523809526</v>
      </c>
    </row>
    <row r="8" spans="1:5" x14ac:dyDescent="0.25">
      <c r="A8" s="19">
        <v>45689</v>
      </c>
      <c r="B8" s="20" t="s">
        <v>169</v>
      </c>
      <c r="C8" s="21">
        <v>3600</v>
      </c>
      <c r="D8" s="21">
        <v>82</v>
      </c>
      <c r="E8" s="22">
        <f t="shared" si="0"/>
        <v>43.902439024390247</v>
      </c>
    </row>
    <row r="9" spans="1:5" x14ac:dyDescent="0.25">
      <c r="A9" s="19">
        <v>45689</v>
      </c>
      <c r="B9" s="20" t="s">
        <v>170</v>
      </c>
      <c r="C9" s="21">
        <v>4600</v>
      </c>
      <c r="D9" s="21">
        <v>47</v>
      </c>
      <c r="E9" s="22">
        <f t="shared" si="0"/>
        <v>97.872340425531917</v>
      </c>
    </row>
    <row r="10" spans="1:5" x14ac:dyDescent="0.25">
      <c r="A10" s="19">
        <v>45689</v>
      </c>
      <c r="B10" s="20" t="s">
        <v>171</v>
      </c>
      <c r="C10" s="21">
        <v>1250</v>
      </c>
      <c r="D10" s="21">
        <v>62</v>
      </c>
      <c r="E10" s="22">
        <f t="shared" si="0"/>
        <v>20.161290322580644</v>
      </c>
    </row>
    <row r="11" spans="1:5" x14ac:dyDescent="0.25">
      <c r="A11" s="19">
        <v>45689</v>
      </c>
      <c r="B11" s="20" t="s">
        <v>172</v>
      </c>
      <c r="C11" s="21">
        <v>520</v>
      </c>
      <c r="D11" s="21">
        <v>58</v>
      </c>
      <c r="E11" s="22">
        <f t="shared" si="0"/>
        <v>8.9655172413793096</v>
      </c>
    </row>
    <row r="12" spans="1:5" x14ac:dyDescent="0.25">
      <c r="A12" s="19">
        <v>45717</v>
      </c>
      <c r="B12" s="20" t="s">
        <v>168</v>
      </c>
      <c r="C12" s="21">
        <v>5400</v>
      </c>
      <c r="D12" s="21">
        <v>108</v>
      </c>
      <c r="E12" s="22">
        <f t="shared" si="0"/>
        <v>50</v>
      </c>
    </row>
    <row r="13" spans="1:5" x14ac:dyDescent="0.25">
      <c r="A13" s="19">
        <v>45717</v>
      </c>
      <c r="B13" s="20" t="s">
        <v>169</v>
      </c>
      <c r="C13" s="21">
        <v>3700</v>
      </c>
      <c r="D13" s="21">
        <v>85</v>
      </c>
      <c r="E13" s="22">
        <f t="shared" si="0"/>
        <v>43.529411764705884</v>
      </c>
    </row>
    <row r="14" spans="1:5" x14ac:dyDescent="0.25">
      <c r="A14" s="19">
        <v>45717</v>
      </c>
      <c r="B14" s="20" t="s">
        <v>170</v>
      </c>
      <c r="C14" s="21">
        <v>4700</v>
      </c>
      <c r="D14" s="21">
        <v>48</v>
      </c>
      <c r="E14" s="22">
        <f t="shared" si="0"/>
        <v>97.916666666666671</v>
      </c>
    </row>
    <row r="15" spans="1:5" x14ac:dyDescent="0.25">
      <c r="A15" s="19">
        <v>45717</v>
      </c>
      <c r="B15" s="20" t="s">
        <v>171</v>
      </c>
      <c r="C15" s="21">
        <v>1300</v>
      </c>
      <c r="D15" s="21">
        <v>65</v>
      </c>
      <c r="E15" s="22">
        <f t="shared" si="0"/>
        <v>20</v>
      </c>
    </row>
    <row r="16" spans="1:5" x14ac:dyDescent="0.25">
      <c r="A16" s="19">
        <v>45717</v>
      </c>
      <c r="B16" s="20" t="s">
        <v>172</v>
      </c>
      <c r="C16" s="21">
        <v>550</v>
      </c>
      <c r="D16" s="21">
        <v>60</v>
      </c>
      <c r="E16" s="22">
        <f t="shared" si="0"/>
        <v>9.1666666666666661</v>
      </c>
    </row>
    <row r="17" spans="1:5" x14ac:dyDescent="0.25">
      <c r="A17" s="19">
        <v>45748</v>
      </c>
      <c r="B17" s="20" t="s">
        <v>168</v>
      </c>
      <c r="C17" s="21">
        <v>5600</v>
      </c>
      <c r="D17" s="21">
        <v>112</v>
      </c>
      <c r="E17" s="22">
        <f t="shared" si="0"/>
        <v>50</v>
      </c>
    </row>
    <row r="18" spans="1:5" x14ac:dyDescent="0.25">
      <c r="A18" s="19">
        <v>45748</v>
      </c>
      <c r="B18" s="20" t="s">
        <v>169</v>
      </c>
      <c r="C18" s="21">
        <v>3800</v>
      </c>
      <c r="D18" s="21">
        <v>87</v>
      </c>
      <c r="E18" s="22">
        <f t="shared" si="0"/>
        <v>43.678160919540232</v>
      </c>
    </row>
    <row r="19" spans="1:5" x14ac:dyDescent="0.25">
      <c r="A19" s="19">
        <v>45748</v>
      </c>
      <c r="B19" s="20" t="s">
        <v>170</v>
      </c>
      <c r="C19" s="21">
        <v>4800</v>
      </c>
      <c r="D19" s="21">
        <v>50</v>
      </c>
      <c r="E19" s="22">
        <f t="shared" si="0"/>
        <v>96</v>
      </c>
    </row>
    <row r="20" spans="1:5" x14ac:dyDescent="0.25">
      <c r="A20" s="19">
        <v>45748</v>
      </c>
      <c r="B20" s="20" t="s">
        <v>171</v>
      </c>
      <c r="C20" s="21">
        <v>1350</v>
      </c>
      <c r="D20" s="21">
        <v>68</v>
      </c>
      <c r="E20" s="22">
        <f t="shared" si="0"/>
        <v>19.852941176470587</v>
      </c>
    </row>
    <row r="21" spans="1:5" x14ac:dyDescent="0.25">
      <c r="A21" s="19">
        <v>45748</v>
      </c>
      <c r="B21" s="20" t="s">
        <v>172</v>
      </c>
      <c r="C21" s="21">
        <v>570</v>
      </c>
      <c r="D21" s="21">
        <v>62</v>
      </c>
      <c r="E21" s="22">
        <f t="shared" si="0"/>
        <v>9.193548387096774</v>
      </c>
    </row>
    <row r="22" spans="1:5" x14ac:dyDescent="0.25">
      <c r="A22" s="19">
        <v>45778</v>
      </c>
      <c r="B22" s="20" t="s">
        <v>168</v>
      </c>
      <c r="C22" s="21">
        <v>5800</v>
      </c>
      <c r="D22" s="21">
        <v>116</v>
      </c>
      <c r="E22" s="22">
        <f t="shared" si="0"/>
        <v>50</v>
      </c>
    </row>
    <row r="23" spans="1:5" x14ac:dyDescent="0.25">
      <c r="A23" s="19">
        <v>45778</v>
      </c>
      <c r="B23" s="20" t="s">
        <v>169</v>
      </c>
      <c r="C23" s="21">
        <v>3900</v>
      </c>
      <c r="D23" s="21">
        <v>90</v>
      </c>
      <c r="E23" s="22">
        <f t="shared" si="0"/>
        <v>43.333333333333336</v>
      </c>
    </row>
    <row r="24" spans="1:5" x14ac:dyDescent="0.25">
      <c r="A24" s="19">
        <v>45778</v>
      </c>
      <c r="B24" s="20" t="s">
        <v>170</v>
      </c>
      <c r="C24" s="21">
        <v>4900</v>
      </c>
      <c r="D24" s="21">
        <v>52</v>
      </c>
      <c r="E24" s="22">
        <f t="shared" si="0"/>
        <v>94.230769230769226</v>
      </c>
    </row>
    <row r="25" spans="1:5" x14ac:dyDescent="0.25">
      <c r="A25" s="19">
        <v>45778</v>
      </c>
      <c r="B25" s="20" t="s">
        <v>171</v>
      </c>
      <c r="C25" s="21">
        <v>1400</v>
      </c>
      <c r="D25" s="21">
        <v>70</v>
      </c>
      <c r="E25" s="22">
        <f t="shared" si="0"/>
        <v>20</v>
      </c>
    </row>
    <row r="26" spans="1:5" x14ac:dyDescent="0.25">
      <c r="A26" s="19">
        <v>45778</v>
      </c>
      <c r="B26" s="20" t="s">
        <v>172</v>
      </c>
      <c r="C26" s="21">
        <v>600</v>
      </c>
      <c r="D26" s="21">
        <v>65</v>
      </c>
      <c r="E26" s="22">
        <f t="shared" si="0"/>
        <v>9.2307692307692299</v>
      </c>
    </row>
    <row r="27" spans="1:5" x14ac:dyDescent="0.25">
      <c r="A27" s="19">
        <v>45809</v>
      </c>
      <c r="B27" s="20" t="s">
        <v>168</v>
      </c>
      <c r="C27" s="21">
        <v>6000</v>
      </c>
      <c r="D27" s="21">
        <v>120</v>
      </c>
      <c r="E27" s="22">
        <f t="shared" si="0"/>
        <v>50</v>
      </c>
    </row>
    <row r="28" spans="1:5" x14ac:dyDescent="0.25">
      <c r="A28" s="19">
        <v>45809</v>
      </c>
      <c r="B28" s="20" t="s">
        <v>169</v>
      </c>
      <c r="C28" s="21">
        <v>4000</v>
      </c>
      <c r="D28" s="21">
        <v>92</v>
      </c>
      <c r="E28" s="22">
        <f t="shared" si="0"/>
        <v>43.478260869565219</v>
      </c>
    </row>
    <row r="29" spans="1:5" x14ac:dyDescent="0.25">
      <c r="A29" s="19">
        <v>45809</v>
      </c>
      <c r="B29" s="20" t="s">
        <v>170</v>
      </c>
      <c r="C29" s="21">
        <v>5000</v>
      </c>
      <c r="D29" s="21">
        <v>55</v>
      </c>
      <c r="E29" s="22">
        <f t="shared" si="0"/>
        <v>90.909090909090907</v>
      </c>
    </row>
    <row r="30" spans="1:5" x14ac:dyDescent="0.25">
      <c r="A30" s="19">
        <v>45809</v>
      </c>
      <c r="B30" s="20" t="s">
        <v>171</v>
      </c>
      <c r="C30" s="21">
        <v>1450</v>
      </c>
      <c r="D30" s="21">
        <v>72</v>
      </c>
      <c r="E30" s="22">
        <f t="shared" si="0"/>
        <v>20.138888888888889</v>
      </c>
    </row>
    <row r="31" spans="1:5" x14ac:dyDescent="0.25">
      <c r="A31" s="19">
        <v>45809</v>
      </c>
      <c r="B31" s="20" t="s">
        <v>172</v>
      </c>
      <c r="C31" s="21">
        <v>620</v>
      </c>
      <c r="D31" s="21">
        <v>67</v>
      </c>
      <c r="E31" s="22">
        <f t="shared" si="0"/>
        <v>9.2537313432835813</v>
      </c>
    </row>
    <row r="32" spans="1:5" x14ac:dyDescent="0.25">
      <c r="A32" s="19">
        <v>45839</v>
      </c>
      <c r="B32" s="20" t="s">
        <v>168</v>
      </c>
      <c r="C32" s="21">
        <v>6200</v>
      </c>
      <c r="D32" s="21">
        <v>124</v>
      </c>
      <c r="E32" s="22">
        <f t="shared" si="0"/>
        <v>50</v>
      </c>
    </row>
    <row r="33" spans="1:5" x14ac:dyDescent="0.25">
      <c r="A33" s="19">
        <v>45839</v>
      </c>
      <c r="B33" s="20" t="s">
        <v>169</v>
      </c>
      <c r="C33" s="21">
        <v>4100</v>
      </c>
      <c r="D33" s="21">
        <v>95</v>
      </c>
      <c r="E33" s="22">
        <f t="shared" si="0"/>
        <v>43.157894736842103</v>
      </c>
    </row>
    <row r="34" spans="1:5" x14ac:dyDescent="0.25">
      <c r="A34" s="19">
        <v>45839</v>
      </c>
      <c r="B34" s="20" t="s">
        <v>170</v>
      </c>
      <c r="C34" s="21">
        <v>5100</v>
      </c>
      <c r="D34" s="21">
        <v>57</v>
      </c>
      <c r="E34" s="22">
        <f t="shared" si="0"/>
        <v>89.473684210526315</v>
      </c>
    </row>
    <row r="35" spans="1:5" x14ac:dyDescent="0.25">
      <c r="A35" s="19">
        <v>45839</v>
      </c>
      <c r="B35" s="20" t="s">
        <v>171</v>
      </c>
      <c r="C35" s="21">
        <v>1500</v>
      </c>
      <c r="D35" s="21">
        <v>75</v>
      </c>
      <c r="E35" s="22">
        <f t="shared" si="0"/>
        <v>20</v>
      </c>
    </row>
    <row r="36" spans="1:5" x14ac:dyDescent="0.25">
      <c r="A36" s="19">
        <v>45839</v>
      </c>
      <c r="B36" s="20" t="s">
        <v>172</v>
      </c>
      <c r="C36" s="21">
        <v>650</v>
      </c>
      <c r="D36" s="21">
        <v>70</v>
      </c>
      <c r="E36" s="22">
        <f t="shared" si="0"/>
        <v>9.2857142857142865</v>
      </c>
    </row>
    <row r="37" spans="1:5" x14ac:dyDescent="0.25">
      <c r="A37" s="19">
        <v>45870</v>
      </c>
      <c r="B37" s="20" t="s">
        <v>168</v>
      </c>
      <c r="C37" s="21">
        <v>6400</v>
      </c>
      <c r="D37" s="21">
        <v>128</v>
      </c>
      <c r="E37" s="22">
        <f t="shared" si="0"/>
        <v>50</v>
      </c>
    </row>
    <row r="38" spans="1:5" x14ac:dyDescent="0.25">
      <c r="A38" s="19">
        <v>45870</v>
      </c>
      <c r="B38" s="20" t="s">
        <v>169</v>
      </c>
      <c r="C38" s="21">
        <v>4200</v>
      </c>
      <c r="D38" s="21">
        <v>98</v>
      </c>
      <c r="E38" s="22">
        <f t="shared" si="0"/>
        <v>42.857142857142854</v>
      </c>
    </row>
    <row r="39" spans="1:5" x14ac:dyDescent="0.25">
      <c r="A39" s="19">
        <v>45870</v>
      </c>
      <c r="B39" s="20" t="s">
        <v>170</v>
      </c>
      <c r="C39" s="21">
        <v>5200</v>
      </c>
      <c r="D39" s="21">
        <v>60</v>
      </c>
      <c r="E39" s="22">
        <f t="shared" si="0"/>
        <v>86.666666666666671</v>
      </c>
    </row>
    <row r="40" spans="1:5" x14ac:dyDescent="0.25">
      <c r="A40" s="19">
        <v>45870</v>
      </c>
      <c r="B40" s="20" t="s">
        <v>171</v>
      </c>
      <c r="C40" s="21">
        <v>1550</v>
      </c>
      <c r="D40" s="21">
        <v>78</v>
      </c>
      <c r="E40" s="22">
        <f t="shared" si="0"/>
        <v>19.871794871794872</v>
      </c>
    </row>
    <row r="41" spans="1:5" x14ac:dyDescent="0.25">
      <c r="A41" s="19">
        <v>45870</v>
      </c>
      <c r="B41" s="20" t="s">
        <v>172</v>
      </c>
      <c r="C41" s="21">
        <v>680</v>
      </c>
      <c r="D41" s="21">
        <v>72</v>
      </c>
      <c r="E41" s="22">
        <f t="shared" si="0"/>
        <v>9.4444444444444446</v>
      </c>
    </row>
    <row r="42" spans="1:5" x14ac:dyDescent="0.25">
      <c r="A42" s="19">
        <v>45901</v>
      </c>
      <c r="B42" s="20" t="s">
        <v>168</v>
      </c>
      <c r="C42" s="21">
        <v>6600</v>
      </c>
      <c r="D42" s="21">
        <v>132</v>
      </c>
      <c r="E42" s="22">
        <f t="shared" si="0"/>
        <v>50</v>
      </c>
    </row>
    <row r="43" spans="1:5" x14ac:dyDescent="0.25">
      <c r="A43" s="19">
        <v>45901</v>
      </c>
      <c r="B43" s="20" t="s">
        <v>169</v>
      </c>
      <c r="C43" s="21">
        <v>4300</v>
      </c>
      <c r="D43" s="21">
        <v>100</v>
      </c>
      <c r="E43" s="22">
        <f t="shared" si="0"/>
        <v>43</v>
      </c>
    </row>
    <row r="44" spans="1:5" x14ac:dyDescent="0.25">
      <c r="A44" s="19">
        <v>45901</v>
      </c>
      <c r="B44" s="20" t="s">
        <v>170</v>
      </c>
      <c r="C44" s="21">
        <v>5300</v>
      </c>
      <c r="D44" s="21">
        <v>62</v>
      </c>
      <c r="E44" s="22">
        <f t="shared" si="0"/>
        <v>85.483870967741936</v>
      </c>
    </row>
    <row r="45" spans="1:5" x14ac:dyDescent="0.25">
      <c r="A45" s="19">
        <v>45901</v>
      </c>
      <c r="B45" s="20" t="s">
        <v>171</v>
      </c>
      <c r="C45" s="21">
        <v>1600</v>
      </c>
      <c r="D45" s="21">
        <v>80</v>
      </c>
      <c r="E45" s="22">
        <f t="shared" si="0"/>
        <v>20</v>
      </c>
    </row>
    <row r="46" spans="1:5" x14ac:dyDescent="0.25">
      <c r="A46" s="19">
        <v>45901</v>
      </c>
      <c r="B46" s="20" t="s">
        <v>172</v>
      </c>
      <c r="C46" s="21">
        <v>700</v>
      </c>
      <c r="D46" s="21">
        <v>75</v>
      </c>
      <c r="E46" s="22">
        <f t="shared" si="0"/>
        <v>9.3333333333333339</v>
      </c>
    </row>
    <row r="47" spans="1:5" x14ac:dyDescent="0.25">
      <c r="A47" s="19">
        <v>45931</v>
      </c>
      <c r="B47" s="20" t="s">
        <v>168</v>
      </c>
      <c r="C47" s="21">
        <v>6800</v>
      </c>
      <c r="D47" s="21">
        <v>136</v>
      </c>
      <c r="E47" s="22">
        <f t="shared" si="0"/>
        <v>50</v>
      </c>
    </row>
    <row r="48" spans="1:5" x14ac:dyDescent="0.25">
      <c r="A48" s="19">
        <v>45931</v>
      </c>
      <c r="B48" s="20" t="s">
        <v>169</v>
      </c>
      <c r="C48" s="21">
        <v>4400</v>
      </c>
      <c r="D48" s="21">
        <v>103</v>
      </c>
      <c r="E48" s="22">
        <f t="shared" si="0"/>
        <v>42.71844660194175</v>
      </c>
    </row>
    <row r="49" spans="1:5" x14ac:dyDescent="0.25">
      <c r="A49" s="19">
        <v>45931</v>
      </c>
      <c r="B49" s="20" t="s">
        <v>170</v>
      </c>
      <c r="C49" s="21">
        <v>5400</v>
      </c>
      <c r="D49" s="21">
        <v>64</v>
      </c>
      <c r="E49" s="22">
        <f t="shared" si="0"/>
        <v>84.375</v>
      </c>
    </row>
    <row r="50" spans="1:5" x14ac:dyDescent="0.25">
      <c r="A50" s="19">
        <v>45931</v>
      </c>
      <c r="B50" s="20" t="s">
        <v>171</v>
      </c>
      <c r="C50" s="21">
        <v>1650</v>
      </c>
      <c r="D50" s="21">
        <v>82</v>
      </c>
      <c r="E50" s="22">
        <f t="shared" si="0"/>
        <v>20.121951219512194</v>
      </c>
    </row>
    <row r="51" spans="1:5" x14ac:dyDescent="0.25">
      <c r="A51" s="19">
        <v>45931</v>
      </c>
      <c r="B51" s="20" t="s">
        <v>172</v>
      </c>
      <c r="C51" s="21">
        <v>720</v>
      </c>
      <c r="D51" s="21">
        <v>77</v>
      </c>
      <c r="E51" s="22">
        <f t="shared" si="0"/>
        <v>9.3506493506493502</v>
      </c>
    </row>
    <row r="52" spans="1:5" x14ac:dyDescent="0.25">
      <c r="A52" s="19">
        <v>45962</v>
      </c>
      <c r="B52" s="20" t="s">
        <v>168</v>
      </c>
      <c r="C52" s="21">
        <v>7000</v>
      </c>
      <c r="D52" s="21">
        <v>140</v>
      </c>
      <c r="E52" s="22">
        <f t="shared" si="0"/>
        <v>50</v>
      </c>
    </row>
    <row r="53" spans="1:5" x14ac:dyDescent="0.25">
      <c r="A53" s="19">
        <v>45962</v>
      </c>
      <c r="B53" s="20" t="s">
        <v>169</v>
      </c>
      <c r="C53" s="21">
        <v>4500</v>
      </c>
      <c r="D53" s="21">
        <v>105</v>
      </c>
      <c r="E53" s="22">
        <f t="shared" si="0"/>
        <v>42.857142857142854</v>
      </c>
    </row>
    <row r="54" spans="1:5" x14ac:dyDescent="0.25">
      <c r="A54" s="19">
        <v>45962</v>
      </c>
      <c r="B54" s="20" t="s">
        <v>170</v>
      </c>
      <c r="C54" s="21">
        <v>5500</v>
      </c>
      <c r="D54" s="21">
        <v>66</v>
      </c>
      <c r="E54" s="22">
        <f t="shared" si="0"/>
        <v>83.333333333333329</v>
      </c>
    </row>
    <row r="55" spans="1:5" x14ac:dyDescent="0.25">
      <c r="A55" s="19">
        <v>45962</v>
      </c>
      <c r="B55" s="20" t="s">
        <v>171</v>
      </c>
      <c r="C55" s="21">
        <v>1700</v>
      </c>
      <c r="D55" s="21">
        <v>85</v>
      </c>
      <c r="E55" s="22">
        <f t="shared" si="0"/>
        <v>20</v>
      </c>
    </row>
    <row r="56" spans="1:5" x14ac:dyDescent="0.25">
      <c r="A56" s="19">
        <v>45962</v>
      </c>
      <c r="B56" s="20" t="s">
        <v>172</v>
      </c>
      <c r="C56" s="21">
        <v>750</v>
      </c>
      <c r="D56" s="21">
        <v>80</v>
      </c>
      <c r="E56" s="22">
        <f t="shared" si="0"/>
        <v>9.375</v>
      </c>
    </row>
    <row r="57" spans="1:5" x14ac:dyDescent="0.25">
      <c r="A57" s="19">
        <v>45992</v>
      </c>
      <c r="B57" s="20" t="s">
        <v>168</v>
      </c>
      <c r="C57" s="21">
        <v>7200</v>
      </c>
      <c r="D57" s="21">
        <v>145</v>
      </c>
      <c r="E57" s="22">
        <f t="shared" si="0"/>
        <v>49.655172413793103</v>
      </c>
    </row>
    <row r="58" spans="1:5" x14ac:dyDescent="0.25">
      <c r="A58" s="19">
        <v>45992</v>
      </c>
      <c r="B58" s="20" t="s">
        <v>169</v>
      </c>
      <c r="C58" s="21">
        <v>4600</v>
      </c>
      <c r="D58" s="21">
        <v>108</v>
      </c>
      <c r="E58" s="22">
        <f t="shared" si="0"/>
        <v>42.592592592592595</v>
      </c>
    </row>
    <row r="59" spans="1:5" x14ac:dyDescent="0.25">
      <c r="A59" s="19">
        <v>45992</v>
      </c>
      <c r="B59" s="20" t="s">
        <v>170</v>
      </c>
      <c r="C59" s="21">
        <v>5600</v>
      </c>
      <c r="D59" s="21">
        <v>68</v>
      </c>
      <c r="E59" s="22">
        <f t="shared" si="0"/>
        <v>82.352941176470594</v>
      </c>
    </row>
    <row r="60" spans="1:5" x14ac:dyDescent="0.25">
      <c r="A60" s="19">
        <v>45992</v>
      </c>
      <c r="B60" s="20" t="s">
        <v>171</v>
      </c>
      <c r="C60" s="21">
        <v>1750</v>
      </c>
      <c r="D60" s="21">
        <v>88</v>
      </c>
      <c r="E60" s="22">
        <f t="shared" si="0"/>
        <v>19.886363636363637</v>
      </c>
    </row>
    <row r="61" spans="1:5" x14ac:dyDescent="0.25">
      <c r="A61" s="23">
        <v>45992</v>
      </c>
      <c r="B61" s="24" t="s">
        <v>172</v>
      </c>
      <c r="C61" s="25">
        <v>780</v>
      </c>
      <c r="D61" s="25">
        <v>82</v>
      </c>
      <c r="E61" s="26">
        <f t="shared" si="0"/>
        <v>9.5121951219512191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12" sqref="A12"/>
    </sheetView>
  </sheetViews>
  <sheetFormatPr defaultRowHeight="15" x14ac:dyDescent="0.25"/>
  <sheetData>
    <row r="1" spans="1:2" x14ac:dyDescent="0.25">
      <c r="A1" s="3" t="s">
        <v>183</v>
      </c>
      <c r="B1" s="4" t="s">
        <v>184</v>
      </c>
    </row>
    <row r="2" spans="1:2" x14ac:dyDescent="0.25">
      <c r="A2" s="5">
        <v>45682</v>
      </c>
      <c r="B2" s="6">
        <v>5500</v>
      </c>
    </row>
    <row r="3" spans="1:2" x14ac:dyDescent="0.25">
      <c r="A3" s="5">
        <v>45713</v>
      </c>
      <c r="B3" s="6">
        <v>6300</v>
      </c>
    </row>
    <row r="4" spans="1:2" x14ac:dyDescent="0.25">
      <c r="A4" s="5">
        <v>45741</v>
      </c>
      <c r="B4" s="6">
        <v>7400</v>
      </c>
    </row>
    <row r="5" spans="1:2" x14ac:dyDescent="0.25">
      <c r="A5" s="5">
        <v>45772</v>
      </c>
      <c r="B5" s="6">
        <v>8500</v>
      </c>
    </row>
    <row r="6" spans="1:2" x14ac:dyDescent="0.25">
      <c r="A6" s="5">
        <v>45802</v>
      </c>
      <c r="B6" s="6">
        <v>9800</v>
      </c>
    </row>
    <row r="7" spans="1:2" x14ac:dyDescent="0.25">
      <c r="A7" s="5">
        <v>45833</v>
      </c>
      <c r="B7" s="6">
        <v>11200</v>
      </c>
    </row>
    <row r="8" spans="1:2" x14ac:dyDescent="0.25">
      <c r="A8" s="5">
        <v>45863</v>
      </c>
      <c r="B8" s="6">
        <v>12900</v>
      </c>
    </row>
    <row r="9" spans="1:2" x14ac:dyDescent="0.25">
      <c r="A9" s="5">
        <v>45894</v>
      </c>
      <c r="B9" s="6">
        <v>14700</v>
      </c>
    </row>
    <row r="10" spans="1:2" x14ac:dyDescent="0.25">
      <c r="A10" s="5">
        <v>45925</v>
      </c>
      <c r="B10" s="6">
        <v>16800</v>
      </c>
    </row>
    <row r="11" spans="1:2" x14ac:dyDescent="0.25">
      <c r="A11" s="5">
        <v>45955</v>
      </c>
      <c r="B11" s="6">
        <v>19000</v>
      </c>
    </row>
    <row r="12" spans="1:2" x14ac:dyDescent="0.25">
      <c r="A12" s="5">
        <v>45986</v>
      </c>
      <c r="B12" s="6">
        <v>21500</v>
      </c>
    </row>
    <row r="13" spans="1:2" x14ac:dyDescent="0.25">
      <c r="A13" s="5">
        <v>46016</v>
      </c>
      <c r="B13" s="6">
        <v>24000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4" sqref="B14"/>
    </sheetView>
  </sheetViews>
  <sheetFormatPr defaultRowHeight="15" x14ac:dyDescent="0.25"/>
  <cols>
    <col min="1" max="1" width="31.42578125" customWidth="1"/>
    <col min="2" max="2" width="17.85546875" customWidth="1"/>
  </cols>
  <sheetData>
    <row r="1" spans="1:2" x14ac:dyDescent="0.25">
      <c r="A1" s="3" t="s">
        <v>188</v>
      </c>
      <c r="B1" s="4" t="s">
        <v>189</v>
      </c>
    </row>
    <row r="2" spans="1:2" x14ac:dyDescent="0.25">
      <c r="A2" s="8" t="s">
        <v>190</v>
      </c>
      <c r="B2" s="7">
        <f>COUNTA(Customers!A2:A151)</f>
        <v>150</v>
      </c>
    </row>
    <row r="3" spans="1:2" x14ac:dyDescent="0.25">
      <c r="A3" s="8" t="s">
        <v>191</v>
      </c>
      <c r="B3">
        <f>COUNTIF(Subscriptions!D:D, "Active")</f>
        <v>120</v>
      </c>
    </row>
    <row r="4" spans="1:2" x14ac:dyDescent="0.25">
      <c r="A4" s="8" t="s">
        <v>192</v>
      </c>
      <c r="B4">
        <f>COUNTIF(Subscriptions!D:D, "Churned")</f>
        <v>30</v>
      </c>
    </row>
    <row r="5" spans="1:2" x14ac:dyDescent="0.25">
      <c r="A5" s="8" t="s">
        <v>193</v>
      </c>
      <c r="B5" s="10">
        <f>B4/B2</f>
        <v>0.2</v>
      </c>
    </row>
    <row r="6" spans="1:2" x14ac:dyDescent="0.25">
      <c r="A6" s="8" t="s">
        <v>194</v>
      </c>
      <c r="B6" s="11">
        <f>AVERAGE(Marketing_Spend!E:E)</f>
        <v>42.631397994890087</v>
      </c>
    </row>
    <row r="7" spans="1:2" x14ac:dyDescent="0.25">
      <c r="A7" s="8" t="s">
        <v>195</v>
      </c>
      <c r="B7">
        <f>SUM(Subscriptions!C:C)</f>
        <v>23600</v>
      </c>
    </row>
    <row r="8" spans="1:2" ht="30" x14ac:dyDescent="0.25">
      <c r="A8" s="8" t="s">
        <v>199</v>
      </c>
      <c r="B8" s="12">
        <f>B7/B2</f>
        <v>157.33333333333334</v>
      </c>
    </row>
    <row r="9" spans="1:2" x14ac:dyDescent="0.25">
      <c r="A9" s="8" t="s">
        <v>196</v>
      </c>
      <c r="B9">
        <f>1/B5</f>
        <v>5</v>
      </c>
    </row>
    <row r="10" spans="1:2" x14ac:dyDescent="0.25">
      <c r="A10" s="8" t="s">
        <v>200</v>
      </c>
      <c r="B10" s="12">
        <f>B8*B9</f>
        <v>786.66666666666674</v>
      </c>
    </row>
    <row r="11" spans="1:2" x14ac:dyDescent="0.25">
      <c r="A11" s="8" t="s">
        <v>197</v>
      </c>
      <c r="B11">
        <f>B10/B6</f>
        <v>18.452753221017023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Revenue by Segment</vt:lpstr>
      <vt:lpstr>Active VS Churned</vt:lpstr>
      <vt:lpstr>Subscriptions</vt:lpstr>
      <vt:lpstr>CAC by Channel</vt:lpstr>
      <vt:lpstr>Signups by Channel</vt:lpstr>
      <vt:lpstr>Marketing_Spend</vt:lpstr>
      <vt:lpstr>Revenue Summary</vt:lpstr>
      <vt:lpstr>KPI_Calculations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iqmal</dc:creator>
  <cp:lastModifiedBy>iqmal</cp:lastModifiedBy>
  <dcterms:created xsi:type="dcterms:W3CDTF">2026-06-15T08:02:39Z</dcterms:created>
  <dcterms:modified xsi:type="dcterms:W3CDTF">2026-06-25T01:43:34Z</dcterms:modified>
</cp:coreProperties>
</file>